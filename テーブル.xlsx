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ajie\tool\work\"/>
    </mc:Choice>
  </mc:AlternateContent>
  <xr:revisionPtr revIDLastSave="0" documentId="13_ncr:1_{D04D4972-FEBB-4343-A324-448A4596DE1F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テーブル" sheetId="1" r:id="rId1"/>
    <sheet name="現新比較対象外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C34" i="1"/>
  <c r="C33" i="1"/>
  <c r="C24" i="1"/>
  <c r="C36" i="1"/>
  <c r="C35" i="1"/>
  <c r="Q13" i="1"/>
  <c r="Q23" i="1" s="1"/>
  <c r="Q38" i="1" s="1"/>
  <c r="P13" i="1"/>
  <c r="P23" i="1" s="1"/>
  <c r="P38" i="1" s="1"/>
  <c r="O13" i="1"/>
  <c r="O23" i="1" s="1"/>
  <c r="O38" i="1" s="1"/>
  <c r="N13" i="1"/>
  <c r="N23" i="1" s="1"/>
  <c r="N38" i="1" s="1"/>
  <c r="M13" i="1"/>
  <c r="M23" i="1" s="1"/>
  <c r="M38" i="1" s="1"/>
  <c r="L13" i="1"/>
  <c r="L23" i="1" s="1"/>
  <c r="L38" i="1" s="1"/>
  <c r="K13" i="1"/>
  <c r="K23" i="1" s="1"/>
  <c r="K38" i="1" s="1"/>
  <c r="J13" i="1"/>
  <c r="J23" i="1" s="1"/>
  <c r="J38" i="1" s="1"/>
  <c r="I13" i="1"/>
  <c r="I23" i="1" s="1"/>
  <c r="I38" i="1" s="1"/>
  <c r="H13" i="1"/>
  <c r="H23" i="1" s="1"/>
  <c r="H38" i="1" s="1"/>
  <c r="G13" i="1"/>
  <c r="G23" i="1" s="1"/>
  <c r="G38" i="1" s="1"/>
  <c r="F13" i="1"/>
  <c r="F23" i="1" s="1"/>
  <c r="F38" i="1" s="1"/>
  <c r="E13" i="1"/>
  <c r="E23" i="1" s="1"/>
  <c r="E38" i="1" s="1"/>
  <c r="D13" i="1"/>
  <c r="D23" i="1" s="1"/>
  <c r="D38" i="1" s="1"/>
  <c r="C13" i="1"/>
  <c r="C23" i="1" s="1"/>
  <c r="Q12" i="1"/>
  <c r="Q22" i="1" s="1"/>
  <c r="Q37" i="1" s="1"/>
  <c r="P12" i="1"/>
  <c r="P22" i="1" s="1"/>
  <c r="P37" i="1" s="1"/>
  <c r="O12" i="1"/>
  <c r="O22" i="1" s="1"/>
  <c r="O37" i="1" s="1"/>
  <c r="N12" i="1"/>
  <c r="N22" i="1" s="1"/>
  <c r="N37" i="1" s="1"/>
  <c r="M12" i="1"/>
  <c r="M22" i="1" s="1"/>
  <c r="M37" i="1" s="1"/>
  <c r="L12" i="1"/>
  <c r="L22" i="1" s="1"/>
  <c r="L37" i="1" s="1"/>
  <c r="K12" i="1"/>
  <c r="K22" i="1" s="1"/>
  <c r="K37" i="1" s="1"/>
  <c r="J12" i="1"/>
  <c r="J22" i="1" s="1"/>
  <c r="J37" i="1" s="1"/>
  <c r="I12" i="1"/>
  <c r="I22" i="1" s="1"/>
  <c r="I37" i="1" s="1"/>
  <c r="H12" i="1"/>
  <c r="H22" i="1" s="1"/>
  <c r="H37" i="1" s="1"/>
  <c r="G12" i="1"/>
  <c r="G22" i="1" s="1"/>
  <c r="G37" i="1" s="1"/>
  <c r="F12" i="1"/>
  <c r="F22" i="1" s="1"/>
  <c r="F37" i="1" s="1"/>
  <c r="E12" i="1"/>
  <c r="E22" i="1" s="1"/>
  <c r="E37" i="1" s="1"/>
  <c r="D12" i="1"/>
  <c r="D22" i="1" s="1"/>
  <c r="D37" i="1" s="1"/>
  <c r="C12" i="1"/>
  <c r="C22" i="1" s="1"/>
  <c r="C37" i="1" s="1"/>
  <c r="Q11" i="1"/>
  <c r="Q21" i="1" s="1"/>
  <c r="Q36" i="1" s="1"/>
  <c r="P11" i="1"/>
  <c r="P21" i="1" s="1"/>
  <c r="P36" i="1" s="1"/>
  <c r="O11" i="1"/>
  <c r="O21" i="1" s="1"/>
  <c r="O36" i="1" s="1"/>
  <c r="N11" i="1"/>
  <c r="N21" i="1" s="1"/>
  <c r="N36" i="1" s="1"/>
  <c r="M11" i="1"/>
  <c r="M21" i="1" s="1"/>
  <c r="M36" i="1" s="1"/>
  <c r="L11" i="1"/>
  <c r="L21" i="1" s="1"/>
  <c r="L36" i="1" s="1"/>
  <c r="K11" i="1"/>
  <c r="K21" i="1" s="1"/>
  <c r="K36" i="1" s="1"/>
  <c r="J11" i="1"/>
  <c r="J21" i="1" s="1"/>
  <c r="J36" i="1" s="1"/>
  <c r="I11" i="1"/>
  <c r="I21" i="1" s="1"/>
  <c r="I36" i="1" s="1"/>
  <c r="H11" i="1"/>
  <c r="G11" i="1"/>
  <c r="G21" i="1" s="1"/>
  <c r="G36" i="1" s="1"/>
  <c r="F11" i="1"/>
  <c r="F21" i="1" s="1"/>
  <c r="F36" i="1" s="1"/>
  <c r="E11" i="1"/>
  <c r="E21" i="1" s="1"/>
  <c r="E36" i="1" s="1"/>
  <c r="D11" i="1"/>
  <c r="D21" i="1" s="1"/>
  <c r="D36" i="1" s="1"/>
  <c r="C11" i="1"/>
  <c r="Q20" i="1"/>
  <c r="P20" i="1"/>
  <c r="O20" i="1"/>
  <c r="O35" i="1" s="1"/>
  <c r="N20" i="1"/>
  <c r="M20" i="1"/>
  <c r="L20" i="1"/>
  <c r="K20" i="1"/>
  <c r="J20" i="1"/>
  <c r="I20" i="1"/>
  <c r="I35" i="1" s="1"/>
  <c r="H20" i="1"/>
  <c r="H35" i="1" s="1"/>
  <c r="G20" i="1"/>
  <c r="F20" i="1"/>
  <c r="E20" i="1"/>
  <c r="E35" i="1" s="1"/>
  <c r="D20" i="1"/>
  <c r="Q19" i="1"/>
  <c r="P19" i="1"/>
  <c r="O19" i="1"/>
  <c r="O34" i="1" s="1"/>
  <c r="N19" i="1"/>
  <c r="M19" i="1"/>
  <c r="M34" i="1" s="1"/>
  <c r="L19" i="1"/>
  <c r="K19" i="1"/>
  <c r="J19" i="1"/>
  <c r="J34" i="1" s="1"/>
  <c r="I19" i="1"/>
  <c r="I34" i="1" s="1"/>
  <c r="H19" i="1"/>
  <c r="G19" i="1"/>
  <c r="F19" i="1"/>
  <c r="E19" i="1"/>
  <c r="E34" i="1" s="1"/>
  <c r="D19" i="1"/>
  <c r="Q18" i="1"/>
  <c r="Q33" i="1" s="1"/>
  <c r="P18" i="1"/>
  <c r="P33" i="1" s="1"/>
  <c r="O18" i="1"/>
  <c r="O33" i="1" s="1"/>
  <c r="N18" i="1"/>
  <c r="N33" i="1" s="1"/>
  <c r="M18" i="1"/>
  <c r="M33" i="1" s="1"/>
  <c r="L18" i="1"/>
  <c r="K18" i="1"/>
  <c r="J18" i="1"/>
  <c r="J33" i="1" s="1"/>
  <c r="I18" i="1"/>
  <c r="H18" i="1"/>
  <c r="H33" i="1" s="1"/>
  <c r="G18" i="1"/>
  <c r="G33" i="1" s="1"/>
  <c r="F18" i="1"/>
  <c r="F33" i="1" s="1"/>
  <c r="E18" i="1"/>
  <c r="E33" i="1" s="1"/>
  <c r="D18" i="1"/>
  <c r="D33" i="1" s="1"/>
  <c r="F26" i="1" l="1"/>
  <c r="P26" i="1"/>
  <c r="K25" i="1"/>
  <c r="Q26" i="1"/>
  <c r="J26" i="1"/>
  <c r="D25" i="1"/>
  <c r="N25" i="1"/>
  <c r="C25" i="1"/>
  <c r="E25" i="1"/>
  <c r="M25" i="1"/>
  <c r="J24" i="1"/>
  <c r="D34" i="1"/>
  <c r="J35" i="1"/>
  <c r="G26" i="1"/>
  <c r="K34" i="1"/>
  <c r="P35" i="1"/>
  <c r="F24" i="1"/>
  <c r="P24" i="1"/>
  <c r="L25" i="1"/>
  <c r="L34" i="1"/>
  <c r="Q35" i="1"/>
  <c r="G24" i="1"/>
  <c r="N34" i="1"/>
  <c r="I24" i="1"/>
  <c r="F35" i="1"/>
  <c r="G35" i="1"/>
  <c r="Q24" i="1"/>
  <c r="K35" i="1"/>
  <c r="K26" i="1"/>
  <c r="F34" i="1"/>
  <c r="F25" i="1"/>
  <c r="P34" i="1"/>
  <c r="P25" i="1"/>
  <c r="L35" i="1"/>
  <c r="L26" i="1"/>
  <c r="O25" i="1"/>
  <c r="K33" i="1"/>
  <c r="K24" i="1"/>
  <c r="G34" i="1"/>
  <c r="G25" i="1"/>
  <c r="Q34" i="1"/>
  <c r="Q25" i="1"/>
  <c r="M35" i="1"/>
  <c r="M26" i="1"/>
  <c r="H26" i="1"/>
  <c r="L33" i="1"/>
  <c r="L24" i="1"/>
  <c r="H34" i="1"/>
  <c r="H25" i="1"/>
  <c r="D35" i="1"/>
  <c r="D26" i="1"/>
  <c r="N35" i="1"/>
  <c r="N26" i="1"/>
  <c r="I33" i="1"/>
  <c r="I26" i="1"/>
  <c r="C38" i="1"/>
  <c r="C26" i="1"/>
  <c r="M24" i="1"/>
  <c r="D24" i="1"/>
  <c r="N24" i="1"/>
  <c r="I25" i="1"/>
  <c r="E24" i="1"/>
  <c r="O24" i="1"/>
  <c r="J25" i="1"/>
  <c r="E26" i="1"/>
  <c r="O26" i="1"/>
  <c r="B11" i="1"/>
  <c r="B12" i="1"/>
  <c r="B13" i="1"/>
  <c r="H21" i="1"/>
  <c r="B25" i="1" l="1"/>
  <c r="H36" i="1"/>
  <c r="H24" i="1"/>
  <c r="B24" i="1" s="1"/>
  <c r="B26" i="1"/>
</calcChain>
</file>

<file path=xl/sharedStrings.xml><?xml version="1.0" encoding="utf-8"?>
<sst xmlns="http://schemas.openxmlformats.org/spreadsheetml/2006/main" count="23" uniqueCount="18">
  <si>
    <t>取得SQL</t>
  </si>
  <si>
    <t>現</t>
  </si>
  <si>
    <t>新</t>
  </si>
  <si>
    <t>現</t>
    <phoneticPr fontId="2"/>
  </si>
  <si>
    <t>打鍵前</t>
    <phoneticPr fontId="2"/>
  </si>
  <si>
    <t>テーブル名</t>
    <rPh sb="4" eb="5">
      <t>メイ</t>
    </rPh>
    <phoneticPr fontId="2"/>
  </si>
  <si>
    <t>打鍵後</t>
    <phoneticPr fontId="2"/>
  </si>
  <si>
    <t>SELECT * FROM テーブル名</t>
    <phoneticPr fontId="2"/>
  </si>
  <si>
    <t>打鍵前件数</t>
    <phoneticPr fontId="2"/>
  </si>
  <si>
    <t>打鍵后件数</t>
    <phoneticPr fontId="2"/>
  </si>
  <si>
    <t>件数差异</t>
    <phoneticPr fontId="2"/>
  </si>
  <si>
    <t>a</t>
    <phoneticPr fontId="2"/>
  </si>
  <si>
    <t>テーブル名</t>
  </si>
  <si>
    <t>項目名</t>
  </si>
  <si>
    <t>備考</t>
  </si>
  <si>
    <t>テーブル名に * を指定すると全テーブル共通。A列=テーブル名、B列=比較対象外にする項目名を入力してください。</t>
    <phoneticPr fontId="2"/>
  </si>
  <si>
    <t>*</t>
    <phoneticPr fontId="2"/>
  </si>
  <si>
    <t>日期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</si>
</sst>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ＭＳ Ｐゴシック"/>
      <family val="2"/>
      <scheme val="minor"/>
    </font>
    <font>
      <b/>
      <sz val="14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2"/>
      <color theme="1"/>
      <name val="ＭＳ Ｐゴシック"/>
      <family val="3"/>
      <charset val="128"/>
      <scheme val="minor"/>
    </font>
    <font>
      <sz val="11"/>
      <color theme="1"/>
      <name val="Noto Sans JP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  <bgColor rgb="FFC6EFCE"/>
      </patternFill>
    </fill>
    <fill>
      <patternFill patternType="solid">
        <fgColor theme="3" tint="0.79998168889431442"/>
        <bgColor rgb="FFD9D9D9"/>
      </patternFill>
    </fill>
    <fill>
      <patternFill patternType="solid">
        <fgColor theme="9" tint="0.59999389629810485"/>
        <bgColor rgb="FFFFD966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0" borderId="2" xfId="0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3" fillId="6" borderId="0" xfId="0" applyFont="1" applyFill="1"/>
    <xf numFmtId="0" fontId="0" fillId="6" borderId="0" xfId="0" applyFill="1"/>
    <xf numFmtId="0" fontId="4" fillId="0" borderId="0" xfId="0" applyFont="1"/>
    <xf numFmtId="0" fontId="4" fillId="0" borderId="6" xfId="0" applyFont="1" applyBorder="1"/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</cellXfs>
  <cellStyles count="1">
    <cellStyle name="標準" xfId="0" builtinId="0"/>
  </cellStyles>
  <dxfs count="8"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6" tint="0.59996337778862885"/>
        </patternFill>
      </fill>
    </dxf>
  </dxfs>
  <tableStyles count="0" defaultTableStyle="TableStyleMedium9" defaultPivotStyle="PivotStyleLight16"/>
  <colors>
    <mruColors>
      <color rgb="FF9C0006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8"/>
  <sheetViews>
    <sheetView workbookViewId="0">
      <selection activeCell="A22" sqref="A22"/>
    </sheetView>
  </sheetViews>
  <sheetFormatPr defaultRowHeight="13" x14ac:dyDescent="0.2"/>
  <cols>
    <col min="1" max="18" width="12" customWidth="1"/>
  </cols>
  <sheetData>
    <row r="1" spans="1:17" s="18" customFormat="1" ht="14" x14ac:dyDescent="0.2">
      <c r="A1" s="17" t="s">
        <v>5</v>
      </c>
    </row>
    <row r="2" spans="1:17" ht="16.5" x14ac:dyDescent="0.25">
      <c r="B2" s="1" t="s">
        <v>4</v>
      </c>
    </row>
    <row r="3" spans="1:17" ht="13.5" thickBot="1" x14ac:dyDescent="0.25">
      <c r="B3" t="s">
        <v>0</v>
      </c>
      <c r="C3" t="s">
        <v>7</v>
      </c>
    </row>
    <row r="4" spans="1:17" ht="13.5" thickBot="1" x14ac:dyDescent="0.25"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8"/>
    </row>
    <row r="5" spans="1:17" ht="18.5" x14ac:dyDescent="0.55000000000000004">
      <c r="B5" s="24" t="s">
        <v>3</v>
      </c>
      <c r="C5" s="20" t="s">
        <v>11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10"/>
    </row>
    <row r="6" spans="1:17" x14ac:dyDescent="0.2">
      <c r="B6" s="25"/>
      <c r="C6" s="9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ht="13.5" thickBot="1" x14ac:dyDescent="0.25">
      <c r="B7" s="26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3"/>
    </row>
    <row r="8" spans="1:17" x14ac:dyDescent="0.2">
      <c r="B8" s="21" t="s">
        <v>2</v>
      </c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6"/>
    </row>
    <row r="9" spans="1:17" x14ac:dyDescent="0.2">
      <c r="B9" s="22"/>
      <c r="C9" s="9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ht="13.5" thickBot="1" x14ac:dyDescent="0.25">
      <c r="B10" s="23"/>
      <c r="C10" s="11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3"/>
    </row>
    <row r="11" spans="1:17" x14ac:dyDescent="0.2">
      <c r="B11" t="str">
        <f>IF(COUNTIF(C11:W11,FALSE)&gt;0,"差分あり","差分なし")</f>
        <v>差分あり</v>
      </c>
      <c r="C11" s="5" t="b">
        <f>IF(AND(C5="",C8=""),"",EXACT(C5,C8))</f>
        <v>0</v>
      </c>
      <c r="D11" s="5" t="str">
        <f t="shared" ref="D11:Q11" si="0">IF(AND(D5="",D8=""),"",EXACT(D5,D8))</f>
        <v/>
      </c>
      <c r="E11" s="5" t="str">
        <f t="shared" si="0"/>
        <v/>
      </c>
      <c r="F11" s="5" t="str">
        <f t="shared" si="0"/>
        <v/>
      </c>
      <c r="G11" s="5" t="str">
        <f t="shared" si="0"/>
        <v/>
      </c>
      <c r="H11" s="5" t="str">
        <f t="shared" si="0"/>
        <v/>
      </c>
      <c r="I11" s="5" t="str">
        <f t="shared" si="0"/>
        <v/>
      </c>
      <c r="J11" s="5" t="str">
        <f t="shared" si="0"/>
        <v/>
      </c>
      <c r="K11" s="5" t="str">
        <f t="shared" si="0"/>
        <v/>
      </c>
      <c r="L11" s="5" t="str">
        <f t="shared" si="0"/>
        <v/>
      </c>
      <c r="M11" s="5" t="str">
        <f t="shared" si="0"/>
        <v/>
      </c>
      <c r="N11" s="5" t="str">
        <f t="shared" si="0"/>
        <v/>
      </c>
      <c r="O11" s="5" t="str">
        <f t="shared" si="0"/>
        <v/>
      </c>
      <c r="P11" s="5" t="str">
        <f t="shared" si="0"/>
        <v/>
      </c>
      <c r="Q11" s="5" t="str">
        <f t="shared" si="0"/>
        <v/>
      </c>
    </row>
    <row r="12" spans="1:17" x14ac:dyDescent="0.2">
      <c r="B12" t="str">
        <f t="shared" ref="B12:B13" si="1">IF(COUNTIF(C12:W12,FALSE)&gt;0,"差分あり","差分なし")</f>
        <v>差分なし</v>
      </c>
      <c r="C12" s="5" t="str">
        <f t="shared" ref="C12:Q12" si="2">IF(AND(C6="",C9=""),"",EXACT(C6,C9))</f>
        <v/>
      </c>
      <c r="D12" s="5" t="str">
        <f t="shared" si="2"/>
        <v/>
      </c>
      <c r="E12" s="5" t="str">
        <f t="shared" si="2"/>
        <v/>
      </c>
      <c r="F12" s="5" t="str">
        <f t="shared" si="2"/>
        <v/>
      </c>
      <c r="G12" s="5" t="str">
        <f t="shared" si="2"/>
        <v/>
      </c>
      <c r="H12" s="5" t="str">
        <f t="shared" si="2"/>
        <v/>
      </c>
      <c r="I12" s="5" t="str">
        <f t="shared" si="2"/>
        <v/>
      </c>
      <c r="J12" s="5" t="str">
        <f t="shared" si="2"/>
        <v/>
      </c>
      <c r="K12" s="5" t="str">
        <f t="shared" si="2"/>
        <v/>
      </c>
      <c r="L12" s="5" t="str">
        <f t="shared" si="2"/>
        <v/>
      </c>
      <c r="M12" s="5" t="str">
        <f t="shared" si="2"/>
        <v/>
      </c>
      <c r="N12" s="5" t="str">
        <f t="shared" si="2"/>
        <v/>
      </c>
      <c r="O12" s="5" t="str">
        <f t="shared" si="2"/>
        <v/>
      </c>
      <c r="P12" s="5" t="str">
        <f t="shared" si="2"/>
        <v/>
      </c>
      <c r="Q12" s="5" t="str">
        <f t="shared" si="2"/>
        <v/>
      </c>
    </row>
    <row r="13" spans="1:17" x14ac:dyDescent="0.2">
      <c r="B13" t="str">
        <f t="shared" si="1"/>
        <v>差分なし</v>
      </c>
      <c r="C13" s="5" t="str">
        <f t="shared" ref="C13:Q13" si="3">IF(AND(C7="",C10=""),"",EXACT(C7,C10))</f>
        <v/>
      </c>
      <c r="D13" s="5" t="str">
        <f t="shared" si="3"/>
        <v/>
      </c>
      <c r="E13" s="5" t="str">
        <f t="shared" si="3"/>
        <v/>
      </c>
      <c r="F13" s="5" t="str">
        <f t="shared" si="3"/>
        <v/>
      </c>
      <c r="G13" s="5" t="str">
        <f t="shared" si="3"/>
        <v/>
      </c>
      <c r="H13" s="5" t="str">
        <f t="shared" si="3"/>
        <v/>
      </c>
      <c r="I13" s="5" t="str">
        <f t="shared" si="3"/>
        <v/>
      </c>
      <c r="J13" s="5" t="str">
        <f t="shared" si="3"/>
        <v/>
      </c>
      <c r="K13" s="5" t="str">
        <f t="shared" si="3"/>
        <v/>
      </c>
      <c r="L13" s="5" t="str">
        <f t="shared" si="3"/>
        <v/>
      </c>
      <c r="M13" s="5" t="str">
        <f t="shared" si="3"/>
        <v/>
      </c>
      <c r="N13" s="5" t="str">
        <f t="shared" si="3"/>
        <v/>
      </c>
      <c r="O13" s="5" t="str">
        <f t="shared" si="3"/>
        <v/>
      </c>
      <c r="P13" s="5" t="str">
        <f t="shared" si="3"/>
        <v/>
      </c>
      <c r="Q13" s="5" t="str">
        <f t="shared" si="3"/>
        <v/>
      </c>
    </row>
    <row r="15" spans="1:17" ht="16.5" x14ac:dyDescent="0.25">
      <c r="B15" s="1" t="s">
        <v>6</v>
      </c>
    </row>
    <row r="16" spans="1:17" x14ac:dyDescent="0.2">
      <c r="B16" t="s">
        <v>0</v>
      </c>
      <c r="C16" t="s">
        <v>7</v>
      </c>
    </row>
    <row r="17" spans="2:17" ht="13.5" thickBot="1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2:17" x14ac:dyDescent="0.2">
      <c r="B18" s="24" t="s">
        <v>1</v>
      </c>
      <c r="C18" s="3"/>
      <c r="D18" s="3" t="str">
        <f t="shared" ref="D18:Q18" si="4">IF(AND(D5="",D8=""),"",EXACT(D5,D8))</f>
        <v/>
      </c>
      <c r="E18" s="3" t="str">
        <f t="shared" si="4"/>
        <v/>
      </c>
      <c r="F18" s="3" t="str">
        <f t="shared" si="4"/>
        <v/>
      </c>
      <c r="G18" s="3" t="str">
        <f t="shared" si="4"/>
        <v/>
      </c>
      <c r="H18" s="3" t="str">
        <f t="shared" si="4"/>
        <v/>
      </c>
      <c r="I18" s="3" t="str">
        <f t="shared" si="4"/>
        <v/>
      </c>
      <c r="J18" s="3" t="str">
        <f t="shared" si="4"/>
        <v/>
      </c>
      <c r="K18" s="3" t="str">
        <f t="shared" si="4"/>
        <v/>
      </c>
      <c r="L18" s="3" t="str">
        <f t="shared" si="4"/>
        <v/>
      </c>
      <c r="M18" s="3" t="str">
        <f t="shared" si="4"/>
        <v/>
      </c>
      <c r="N18" s="3" t="str">
        <f t="shared" si="4"/>
        <v/>
      </c>
      <c r="O18" s="3" t="str">
        <f t="shared" si="4"/>
        <v/>
      </c>
      <c r="P18" s="3" t="str">
        <f t="shared" si="4"/>
        <v/>
      </c>
      <c r="Q18" s="3" t="str">
        <f t="shared" si="4"/>
        <v/>
      </c>
    </row>
    <row r="19" spans="2:17" x14ac:dyDescent="0.2">
      <c r="B19" s="25"/>
      <c r="C19" s="3"/>
      <c r="D19" s="3" t="str">
        <f t="shared" ref="D19:Q19" si="5">IF(AND(D6="",D9=""),"",EXACT(D6,D9))</f>
        <v/>
      </c>
      <c r="E19" s="3" t="str">
        <f t="shared" si="5"/>
        <v/>
      </c>
      <c r="F19" s="3" t="str">
        <f t="shared" si="5"/>
        <v/>
      </c>
      <c r="G19" s="3" t="str">
        <f t="shared" si="5"/>
        <v/>
      </c>
      <c r="H19" s="3" t="str">
        <f t="shared" si="5"/>
        <v/>
      </c>
      <c r="I19" s="3" t="str">
        <f t="shared" si="5"/>
        <v/>
      </c>
      <c r="J19" s="3" t="str">
        <f t="shared" si="5"/>
        <v/>
      </c>
      <c r="K19" s="3" t="str">
        <f t="shared" si="5"/>
        <v/>
      </c>
      <c r="L19" s="3" t="str">
        <f t="shared" si="5"/>
        <v/>
      </c>
      <c r="M19" s="3" t="str">
        <f t="shared" si="5"/>
        <v/>
      </c>
      <c r="N19" s="3" t="str">
        <f t="shared" si="5"/>
        <v/>
      </c>
      <c r="O19" s="3" t="str">
        <f t="shared" si="5"/>
        <v/>
      </c>
      <c r="P19" s="3" t="str">
        <f t="shared" si="5"/>
        <v/>
      </c>
      <c r="Q19" s="3" t="str">
        <f t="shared" si="5"/>
        <v/>
      </c>
    </row>
    <row r="20" spans="2:17" ht="13.5" thickBot="1" x14ac:dyDescent="0.25">
      <c r="B20" s="26"/>
      <c r="C20" s="3"/>
      <c r="D20" s="3" t="str">
        <f t="shared" ref="D20:Q20" si="6">IF(AND(D7="",D10=""),"",EXACT(D7,D10))</f>
        <v/>
      </c>
      <c r="E20" s="3" t="str">
        <f t="shared" si="6"/>
        <v/>
      </c>
      <c r="F20" s="3" t="str">
        <f t="shared" si="6"/>
        <v/>
      </c>
      <c r="G20" s="3" t="str">
        <f t="shared" si="6"/>
        <v/>
      </c>
      <c r="H20" s="3" t="str">
        <f t="shared" si="6"/>
        <v/>
      </c>
      <c r="I20" s="3" t="str">
        <f t="shared" si="6"/>
        <v/>
      </c>
      <c r="J20" s="3" t="str">
        <f t="shared" si="6"/>
        <v/>
      </c>
      <c r="K20" s="3" t="str">
        <f t="shared" si="6"/>
        <v/>
      </c>
      <c r="L20" s="3" t="str">
        <f t="shared" si="6"/>
        <v/>
      </c>
      <c r="M20" s="3" t="str">
        <f t="shared" si="6"/>
        <v/>
      </c>
      <c r="N20" s="3" t="str">
        <f t="shared" si="6"/>
        <v/>
      </c>
      <c r="O20" s="3" t="str">
        <f t="shared" si="6"/>
        <v/>
      </c>
      <c r="P20" s="3" t="str">
        <f t="shared" si="6"/>
        <v/>
      </c>
      <c r="Q20" s="3" t="str">
        <f t="shared" si="6"/>
        <v/>
      </c>
    </row>
    <row r="21" spans="2:17" x14ac:dyDescent="0.2">
      <c r="B21" s="21" t="s">
        <v>2</v>
      </c>
      <c r="C21" s="3"/>
      <c r="D21" s="3" t="str">
        <f t="shared" ref="D21:Q21" si="7">IF(AND(D8="",D11=""),"",EXACT(D8,D11))</f>
        <v/>
      </c>
      <c r="E21" s="3" t="str">
        <f t="shared" si="7"/>
        <v/>
      </c>
      <c r="F21" s="3" t="str">
        <f t="shared" si="7"/>
        <v/>
      </c>
      <c r="G21" s="3" t="str">
        <f t="shared" si="7"/>
        <v/>
      </c>
      <c r="H21" s="3" t="str">
        <f t="shared" si="7"/>
        <v/>
      </c>
      <c r="I21" s="3" t="str">
        <f t="shared" si="7"/>
        <v/>
      </c>
      <c r="J21" s="3" t="str">
        <f t="shared" si="7"/>
        <v/>
      </c>
      <c r="K21" s="3" t="str">
        <f t="shared" si="7"/>
        <v/>
      </c>
      <c r="L21" s="3" t="str">
        <f t="shared" si="7"/>
        <v/>
      </c>
      <c r="M21" s="3" t="str">
        <f t="shared" si="7"/>
        <v/>
      </c>
      <c r="N21" s="3" t="str">
        <f t="shared" si="7"/>
        <v/>
      </c>
      <c r="O21" s="3" t="str">
        <f t="shared" si="7"/>
        <v/>
      </c>
      <c r="P21" s="3" t="str">
        <f t="shared" si="7"/>
        <v/>
      </c>
      <c r="Q21" s="3" t="str">
        <f t="shared" si="7"/>
        <v/>
      </c>
    </row>
    <row r="22" spans="2:17" x14ac:dyDescent="0.2">
      <c r="B22" s="22"/>
      <c r="C22" s="3" t="str">
        <f>IF(AND(C9="",C12=""),"",EXACT(C9,C12))</f>
        <v/>
      </c>
      <c r="D22" s="3" t="str">
        <f t="shared" ref="D22:Q22" si="8">IF(AND(D9="",D12=""),"",EXACT(D9,D12))</f>
        <v/>
      </c>
      <c r="E22" s="3" t="str">
        <f t="shared" si="8"/>
        <v/>
      </c>
      <c r="F22" s="3" t="str">
        <f t="shared" si="8"/>
        <v/>
      </c>
      <c r="G22" s="3" t="str">
        <f t="shared" si="8"/>
        <v/>
      </c>
      <c r="H22" s="3" t="str">
        <f t="shared" si="8"/>
        <v/>
      </c>
      <c r="I22" s="3" t="str">
        <f t="shared" si="8"/>
        <v/>
      </c>
      <c r="J22" s="3" t="str">
        <f t="shared" si="8"/>
        <v/>
      </c>
      <c r="K22" s="3" t="str">
        <f t="shared" si="8"/>
        <v/>
      </c>
      <c r="L22" s="3" t="str">
        <f t="shared" si="8"/>
        <v/>
      </c>
      <c r="M22" s="3" t="str">
        <f t="shared" si="8"/>
        <v/>
      </c>
      <c r="N22" s="3" t="str">
        <f t="shared" si="8"/>
        <v/>
      </c>
      <c r="O22" s="3" t="str">
        <f t="shared" si="8"/>
        <v/>
      </c>
      <c r="P22" s="3" t="str">
        <f t="shared" si="8"/>
        <v/>
      </c>
      <c r="Q22" s="3" t="str">
        <f t="shared" si="8"/>
        <v/>
      </c>
    </row>
    <row r="23" spans="2:17" ht="13.5" thickBot="1" x14ac:dyDescent="0.25">
      <c r="B23" s="23"/>
      <c r="C23" s="3" t="str">
        <f>IF(AND(C10="",C13=""),"",EXACT(C10,C13))</f>
        <v/>
      </c>
      <c r="D23" s="3" t="str">
        <f t="shared" ref="D23:Q23" si="9">IF(AND(D10="",D13=""),"",EXACT(D10,D13))</f>
        <v/>
      </c>
      <c r="E23" s="3" t="str">
        <f t="shared" si="9"/>
        <v/>
      </c>
      <c r="F23" s="3" t="str">
        <f t="shared" si="9"/>
        <v/>
      </c>
      <c r="G23" s="3" t="str">
        <f t="shared" si="9"/>
        <v/>
      </c>
      <c r="H23" s="3" t="str">
        <f t="shared" si="9"/>
        <v/>
      </c>
      <c r="I23" s="3" t="str">
        <f t="shared" si="9"/>
        <v/>
      </c>
      <c r="J23" s="3" t="str">
        <f t="shared" si="9"/>
        <v/>
      </c>
      <c r="K23" s="3" t="str">
        <f t="shared" si="9"/>
        <v/>
      </c>
      <c r="L23" s="3" t="str">
        <f t="shared" si="9"/>
        <v/>
      </c>
      <c r="M23" s="3" t="str">
        <f t="shared" si="9"/>
        <v/>
      </c>
      <c r="N23" s="3" t="str">
        <f t="shared" si="9"/>
        <v/>
      </c>
      <c r="O23" s="3" t="str">
        <f t="shared" si="9"/>
        <v/>
      </c>
      <c r="P23" s="3" t="str">
        <f t="shared" si="9"/>
        <v/>
      </c>
      <c r="Q23" s="3" t="str">
        <f t="shared" si="9"/>
        <v/>
      </c>
    </row>
    <row r="24" spans="2:17" x14ac:dyDescent="0.2">
      <c r="B24" t="str">
        <f>IF(COUNTIF(C24:W24,FALSE)&gt;0,"差分あり","差分なし")</f>
        <v>差分なし</v>
      </c>
      <c r="C24" s="5" t="str">
        <f>IF(AND(C18="",C21=""),"",EXACT(C18,C21))</f>
        <v/>
      </c>
      <c r="D24" s="5" t="str">
        <f t="shared" ref="D24:Q24" si="10">IF(AND(D18="",D21=""),"",EXACT(D18,D21))</f>
        <v/>
      </c>
      <c r="E24" s="5" t="str">
        <f t="shared" si="10"/>
        <v/>
      </c>
      <c r="F24" s="5" t="str">
        <f t="shared" si="10"/>
        <v/>
      </c>
      <c r="G24" s="5" t="str">
        <f t="shared" si="10"/>
        <v/>
      </c>
      <c r="H24" s="5" t="str">
        <f t="shared" si="10"/>
        <v/>
      </c>
      <c r="I24" s="5" t="str">
        <f t="shared" si="10"/>
        <v/>
      </c>
      <c r="J24" s="5" t="str">
        <f t="shared" si="10"/>
        <v/>
      </c>
      <c r="K24" s="5" t="str">
        <f t="shared" si="10"/>
        <v/>
      </c>
      <c r="L24" s="5" t="str">
        <f t="shared" si="10"/>
        <v/>
      </c>
      <c r="M24" s="5" t="str">
        <f t="shared" si="10"/>
        <v/>
      </c>
      <c r="N24" s="5" t="str">
        <f t="shared" si="10"/>
        <v/>
      </c>
      <c r="O24" s="5" t="str">
        <f t="shared" si="10"/>
        <v/>
      </c>
      <c r="P24" s="5" t="str">
        <f t="shared" si="10"/>
        <v/>
      </c>
      <c r="Q24" s="5" t="str">
        <f t="shared" si="10"/>
        <v/>
      </c>
    </row>
    <row r="25" spans="2:17" x14ac:dyDescent="0.2">
      <c r="B25" t="str">
        <f t="shared" ref="B25:B26" si="11">IF(COUNTIF(C25:W25,FALSE)&gt;0,"差分あり","差分なし")</f>
        <v>差分なし</v>
      </c>
      <c r="C25" s="5" t="str">
        <f t="shared" ref="C25:Q25" si="12">IF(AND(C19="",C22=""),"",EXACT(C19,C22))</f>
        <v/>
      </c>
      <c r="D25" s="5" t="str">
        <f t="shared" si="12"/>
        <v/>
      </c>
      <c r="E25" s="5" t="str">
        <f t="shared" si="12"/>
        <v/>
      </c>
      <c r="F25" s="5" t="str">
        <f t="shared" si="12"/>
        <v/>
      </c>
      <c r="G25" s="5" t="str">
        <f t="shared" si="12"/>
        <v/>
      </c>
      <c r="H25" s="5" t="str">
        <f t="shared" si="12"/>
        <v/>
      </c>
      <c r="I25" s="5" t="str">
        <f t="shared" si="12"/>
        <v/>
      </c>
      <c r="J25" s="5" t="str">
        <f t="shared" si="12"/>
        <v/>
      </c>
      <c r="K25" s="5" t="str">
        <f t="shared" si="12"/>
        <v/>
      </c>
      <c r="L25" s="5" t="str">
        <f t="shared" si="12"/>
        <v/>
      </c>
      <c r="M25" s="5" t="str">
        <f t="shared" si="12"/>
        <v/>
      </c>
      <c r="N25" s="5" t="str">
        <f t="shared" si="12"/>
        <v/>
      </c>
      <c r="O25" s="5" t="str">
        <f t="shared" si="12"/>
        <v/>
      </c>
      <c r="P25" s="5" t="str">
        <f t="shared" si="12"/>
        <v/>
      </c>
      <c r="Q25" s="5" t="str">
        <f t="shared" si="12"/>
        <v/>
      </c>
    </row>
    <row r="26" spans="2:17" x14ac:dyDescent="0.2">
      <c r="B26" t="str">
        <f t="shared" si="11"/>
        <v>差分なし</v>
      </c>
      <c r="C26" s="5" t="str">
        <f t="shared" ref="C26:Q26" si="13">IF(AND(C20="",C23=""),"",EXACT(C20,C23))</f>
        <v/>
      </c>
      <c r="D26" s="5" t="str">
        <f t="shared" si="13"/>
        <v/>
      </c>
      <c r="E26" s="5" t="str">
        <f t="shared" si="13"/>
        <v/>
      </c>
      <c r="F26" s="5" t="str">
        <f t="shared" si="13"/>
        <v/>
      </c>
      <c r="G26" s="5" t="str">
        <f t="shared" si="13"/>
        <v/>
      </c>
      <c r="H26" s="5" t="str">
        <f t="shared" si="13"/>
        <v/>
      </c>
      <c r="I26" s="5" t="str">
        <f t="shared" si="13"/>
        <v/>
      </c>
      <c r="J26" s="5" t="str">
        <f t="shared" si="13"/>
        <v/>
      </c>
      <c r="K26" s="5" t="str">
        <f t="shared" si="13"/>
        <v/>
      </c>
      <c r="L26" s="5" t="str">
        <f t="shared" si="13"/>
        <v/>
      </c>
      <c r="M26" s="5" t="str">
        <f t="shared" si="13"/>
        <v/>
      </c>
      <c r="N26" s="5" t="str">
        <f t="shared" si="13"/>
        <v/>
      </c>
      <c r="O26" s="5" t="str">
        <f t="shared" si="13"/>
        <v/>
      </c>
      <c r="P26" s="5" t="str">
        <f t="shared" si="13"/>
        <v/>
      </c>
      <c r="Q26" s="5" t="str">
        <f t="shared" si="13"/>
        <v/>
      </c>
    </row>
    <row r="28" spans="2:17" x14ac:dyDescent="0.2">
      <c r="B28" t="s">
        <v>8</v>
      </c>
    </row>
    <row r="29" spans="2:17" x14ac:dyDescent="0.2">
      <c r="B29" t="s">
        <v>9</v>
      </c>
    </row>
    <row r="30" spans="2:17" ht="18.5" x14ac:dyDescent="0.55000000000000004">
      <c r="B30" s="19" t="s">
        <v>10</v>
      </c>
      <c r="C30">
        <f>C29-C28</f>
        <v>0</v>
      </c>
    </row>
    <row r="32" spans="2:17" ht="13.5" thickBot="1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2:17" x14ac:dyDescent="0.2">
      <c r="B33" s="24" t="s">
        <v>1</v>
      </c>
      <c r="C33" s="4" t="b">
        <f t="shared" ref="C33:Q33" si="14">EXACT(C5,C18)</f>
        <v>0</v>
      </c>
      <c r="D33" s="4" t="b">
        <f t="shared" si="14"/>
        <v>1</v>
      </c>
      <c r="E33" s="4" t="b">
        <f t="shared" si="14"/>
        <v>1</v>
      </c>
      <c r="F33" s="4" t="b">
        <f t="shared" si="14"/>
        <v>1</v>
      </c>
      <c r="G33" s="4" t="b">
        <f t="shared" si="14"/>
        <v>1</v>
      </c>
      <c r="H33" s="4" t="b">
        <f t="shared" si="14"/>
        <v>1</v>
      </c>
      <c r="I33" s="4" t="b">
        <f t="shared" si="14"/>
        <v>1</v>
      </c>
      <c r="J33" s="4" t="b">
        <f t="shared" si="14"/>
        <v>1</v>
      </c>
      <c r="K33" s="4" t="b">
        <f t="shared" si="14"/>
        <v>1</v>
      </c>
      <c r="L33" s="4" t="b">
        <f t="shared" si="14"/>
        <v>1</v>
      </c>
      <c r="M33" s="4" t="b">
        <f t="shared" si="14"/>
        <v>1</v>
      </c>
      <c r="N33" s="4" t="b">
        <f t="shared" si="14"/>
        <v>1</v>
      </c>
      <c r="O33" s="4" t="b">
        <f t="shared" si="14"/>
        <v>1</v>
      </c>
      <c r="P33" s="4" t="b">
        <f t="shared" si="14"/>
        <v>1</v>
      </c>
      <c r="Q33" s="4" t="b">
        <f t="shared" si="14"/>
        <v>1</v>
      </c>
    </row>
    <row r="34" spans="2:17" x14ac:dyDescent="0.2">
      <c r="B34" s="25"/>
      <c r="C34" s="4" t="b">
        <f t="shared" ref="C34:Q34" si="15">EXACT(C6,C19)</f>
        <v>1</v>
      </c>
      <c r="D34" s="4" t="b">
        <f t="shared" si="15"/>
        <v>1</v>
      </c>
      <c r="E34" s="4" t="b">
        <f t="shared" si="15"/>
        <v>1</v>
      </c>
      <c r="F34" s="4" t="b">
        <f t="shared" si="15"/>
        <v>1</v>
      </c>
      <c r="G34" s="4" t="b">
        <f t="shared" si="15"/>
        <v>1</v>
      </c>
      <c r="H34" s="4" t="b">
        <f t="shared" si="15"/>
        <v>1</v>
      </c>
      <c r="I34" s="4" t="b">
        <f t="shared" si="15"/>
        <v>1</v>
      </c>
      <c r="J34" s="4" t="b">
        <f t="shared" si="15"/>
        <v>1</v>
      </c>
      <c r="K34" s="4" t="b">
        <f t="shared" si="15"/>
        <v>1</v>
      </c>
      <c r="L34" s="4" t="b">
        <f t="shared" si="15"/>
        <v>1</v>
      </c>
      <c r="M34" s="4" t="b">
        <f t="shared" si="15"/>
        <v>1</v>
      </c>
      <c r="N34" s="4" t="b">
        <f t="shared" si="15"/>
        <v>1</v>
      </c>
      <c r="O34" s="4" t="b">
        <f t="shared" si="15"/>
        <v>1</v>
      </c>
      <c r="P34" s="4" t="b">
        <f t="shared" si="15"/>
        <v>1</v>
      </c>
      <c r="Q34" s="4" t="b">
        <f t="shared" si="15"/>
        <v>1</v>
      </c>
    </row>
    <row r="35" spans="2:17" ht="13.5" thickBot="1" x14ac:dyDescent="0.25">
      <c r="B35" s="26"/>
      <c r="C35" s="4" t="b">
        <f t="shared" ref="C35:Q35" si="16">EXACT(C7,C20)</f>
        <v>1</v>
      </c>
      <c r="D35" s="4" t="b">
        <f t="shared" si="16"/>
        <v>1</v>
      </c>
      <c r="E35" s="4" t="b">
        <f t="shared" si="16"/>
        <v>1</v>
      </c>
      <c r="F35" s="4" t="b">
        <f t="shared" si="16"/>
        <v>1</v>
      </c>
      <c r="G35" s="4" t="b">
        <f t="shared" si="16"/>
        <v>1</v>
      </c>
      <c r="H35" s="4" t="b">
        <f t="shared" si="16"/>
        <v>1</v>
      </c>
      <c r="I35" s="4" t="b">
        <f t="shared" si="16"/>
        <v>1</v>
      </c>
      <c r="J35" s="4" t="b">
        <f t="shared" si="16"/>
        <v>1</v>
      </c>
      <c r="K35" s="4" t="b">
        <f t="shared" si="16"/>
        <v>1</v>
      </c>
      <c r="L35" s="4" t="b">
        <f t="shared" si="16"/>
        <v>1</v>
      </c>
      <c r="M35" s="4" t="b">
        <f t="shared" si="16"/>
        <v>1</v>
      </c>
      <c r="N35" s="4" t="b">
        <f t="shared" si="16"/>
        <v>1</v>
      </c>
      <c r="O35" s="4" t="b">
        <f t="shared" si="16"/>
        <v>1</v>
      </c>
      <c r="P35" s="4" t="b">
        <f t="shared" si="16"/>
        <v>1</v>
      </c>
      <c r="Q35" s="4" t="b">
        <f t="shared" si="16"/>
        <v>1</v>
      </c>
    </row>
    <row r="36" spans="2:17" x14ac:dyDescent="0.2">
      <c r="B36" s="21" t="s">
        <v>2</v>
      </c>
      <c r="C36" s="4" t="b">
        <f t="shared" ref="C36:Q36" si="17">EXACT(C8,C21)</f>
        <v>1</v>
      </c>
      <c r="D36" s="4" t="b">
        <f t="shared" si="17"/>
        <v>1</v>
      </c>
      <c r="E36" s="4" t="b">
        <f t="shared" si="17"/>
        <v>1</v>
      </c>
      <c r="F36" s="4" t="b">
        <f t="shared" si="17"/>
        <v>1</v>
      </c>
      <c r="G36" s="4" t="b">
        <f t="shared" si="17"/>
        <v>1</v>
      </c>
      <c r="H36" s="4" t="b">
        <f t="shared" si="17"/>
        <v>1</v>
      </c>
      <c r="I36" s="4" t="b">
        <f t="shared" si="17"/>
        <v>1</v>
      </c>
      <c r="J36" s="4" t="b">
        <f t="shared" si="17"/>
        <v>1</v>
      </c>
      <c r="K36" s="4" t="b">
        <f t="shared" si="17"/>
        <v>1</v>
      </c>
      <c r="L36" s="4" t="b">
        <f t="shared" si="17"/>
        <v>1</v>
      </c>
      <c r="M36" s="4" t="b">
        <f t="shared" si="17"/>
        <v>1</v>
      </c>
      <c r="N36" s="4" t="b">
        <f t="shared" si="17"/>
        <v>1</v>
      </c>
      <c r="O36" s="4" t="b">
        <f t="shared" si="17"/>
        <v>1</v>
      </c>
      <c r="P36" s="4" t="b">
        <f t="shared" si="17"/>
        <v>1</v>
      </c>
      <c r="Q36" s="4" t="b">
        <f t="shared" si="17"/>
        <v>1</v>
      </c>
    </row>
    <row r="37" spans="2:17" x14ac:dyDescent="0.2">
      <c r="B37" s="22"/>
      <c r="C37" s="4" t="b">
        <f t="shared" ref="C37:Q37" si="18">EXACT(C9,C22)</f>
        <v>1</v>
      </c>
      <c r="D37" s="4" t="b">
        <f t="shared" si="18"/>
        <v>1</v>
      </c>
      <c r="E37" s="4" t="b">
        <f t="shared" si="18"/>
        <v>1</v>
      </c>
      <c r="F37" s="4" t="b">
        <f t="shared" si="18"/>
        <v>1</v>
      </c>
      <c r="G37" s="4" t="b">
        <f t="shared" si="18"/>
        <v>1</v>
      </c>
      <c r="H37" s="4" t="b">
        <f t="shared" si="18"/>
        <v>1</v>
      </c>
      <c r="I37" s="4" t="b">
        <f t="shared" si="18"/>
        <v>1</v>
      </c>
      <c r="J37" s="4" t="b">
        <f t="shared" si="18"/>
        <v>1</v>
      </c>
      <c r="K37" s="4" t="b">
        <f t="shared" si="18"/>
        <v>1</v>
      </c>
      <c r="L37" s="4" t="b">
        <f t="shared" si="18"/>
        <v>1</v>
      </c>
      <c r="M37" s="4" t="b">
        <f t="shared" si="18"/>
        <v>1</v>
      </c>
      <c r="N37" s="4" t="b">
        <f t="shared" si="18"/>
        <v>1</v>
      </c>
      <c r="O37" s="4" t="b">
        <f t="shared" si="18"/>
        <v>1</v>
      </c>
      <c r="P37" s="4" t="b">
        <f t="shared" si="18"/>
        <v>1</v>
      </c>
      <c r="Q37" s="4" t="b">
        <f t="shared" si="18"/>
        <v>1</v>
      </c>
    </row>
    <row r="38" spans="2:17" ht="13.5" thickBot="1" x14ac:dyDescent="0.25">
      <c r="B38" s="23"/>
      <c r="C38" s="4" t="b">
        <f t="shared" ref="C38:Q38" si="19">EXACT(C10,C23)</f>
        <v>1</v>
      </c>
      <c r="D38" s="4" t="b">
        <f t="shared" si="19"/>
        <v>1</v>
      </c>
      <c r="E38" s="4" t="b">
        <f t="shared" si="19"/>
        <v>1</v>
      </c>
      <c r="F38" s="4" t="b">
        <f t="shared" si="19"/>
        <v>1</v>
      </c>
      <c r="G38" s="4" t="b">
        <f t="shared" si="19"/>
        <v>1</v>
      </c>
      <c r="H38" s="4" t="b">
        <f t="shared" si="19"/>
        <v>1</v>
      </c>
      <c r="I38" s="4" t="b">
        <f t="shared" si="19"/>
        <v>1</v>
      </c>
      <c r="J38" s="4" t="b">
        <f t="shared" si="19"/>
        <v>1</v>
      </c>
      <c r="K38" s="4" t="b">
        <f t="shared" si="19"/>
        <v>1</v>
      </c>
      <c r="L38" s="4" t="b">
        <f t="shared" si="19"/>
        <v>1</v>
      </c>
      <c r="M38" s="4" t="b">
        <f t="shared" si="19"/>
        <v>1</v>
      </c>
      <c r="N38" s="4" t="b">
        <f t="shared" si="19"/>
        <v>1</v>
      </c>
      <c r="O38" s="4" t="b">
        <f t="shared" si="19"/>
        <v>1</v>
      </c>
      <c r="P38" s="4" t="b">
        <f t="shared" si="19"/>
        <v>1</v>
      </c>
      <c r="Q38" s="4" t="b">
        <f t="shared" si="19"/>
        <v>1</v>
      </c>
    </row>
  </sheetData>
  <mergeCells count="6">
    <mergeCell ref="B36:B38"/>
    <mergeCell ref="B8:B10"/>
    <mergeCell ref="B5:B7"/>
    <mergeCell ref="B18:B20"/>
    <mergeCell ref="B21:B23"/>
    <mergeCell ref="B33:B35"/>
  </mergeCells>
  <phoneticPr fontId="2"/>
  <conditionalFormatting sqref="C30">
    <cfRule type="cellIs" dxfId="1" priority="1" operator="notEqual">
      <formula>0</formula>
    </cfRule>
    <cfRule type="cellIs" dxfId="0" priority="2" operator="equal">
      <formula>0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CAD14AC2-62CE-43F2-B4AA-F9BFEB933488}">
            <xm:f>NOT(ISERROR(SEARCH(TRUE,A11)))</xm:f>
            <xm:f>TRUE</xm:f>
            <x14:dxf>
              <fill>
                <patternFill>
                  <bgColor theme="6" tint="0.59996337778862885"/>
                </patternFill>
              </fill>
            </x14:dxf>
          </x14:cfRule>
          <x14:cfRule type="containsText" priority="6" operator="containsText" id="{1D0FCC6B-C06B-4364-910E-BEE1D3BFB1FB}">
            <xm:f>NOT(ISERROR(SEARCH(FALSE,A11)))</xm:f>
            <xm:f>FALSE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m:sqref>A11:XFD13</xm:sqref>
        </x14:conditionalFormatting>
        <x14:conditionalFormatting xmlns:xm="http://schemas.microsoft.com/office/excel/2006/main">
          <x14:cfRule type="containsText" priority="3" operator="containsText" id="{1AAA626F-0B1B-493D-B032-2439B76BA3CF}">
            <xm:f>NOT(ISERROR(SEARCH(TRUE,A24)))</xm:f>
            <xm:f>TRUE</xm:f>
            <x14:dxf>
              <fill>
                <patternFill>
                  <bgColor theme="6" tint="0.59996337778862885"/>
                </patternFill>
              </fill>
            </x14:dxf>
          </x14:cfRule>
          <x14:cfRule type="containsText" priority="4" operator="containsText" id="{4AF720BF-5075-45A6-A62B-5D24F02125E8}">
            <xm:f>NOT(ISERROR(SEARCH(FALSE,A24)))</xm:f>
            <xm:f>FALSE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m:sqref>A24:XFD26</xm:sqref>
        </x14:conditionalFormatting>
        <x14:conditionalFormatting xmlns:xm="http://schemas.microsoft.com/office/excel/2006/main">
          <x14:cfRule type="containsText" priority="7" operator="containsText" id="{5C3A0888-82EE-415E-B62D-DDB3E0ECE325}">
            <xm:f>NOT(ISERROR(SEARCH(FALSE,A33)))</xm:f>
            <xm:f>FALSE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8" operator="containsText" id="{BA07F738-C788-4E99-87A1-1EF9C7E6D3CD}">
            <xm:f>NOT(ISERROR(SEARCH(TRUE,A33)))</xm:f>
            <xm:f>TRUE</xm:f>
            <x14:dxf>
              <fill>
                <patternFill>
                  <bgColor theme="6" tint="0.59996337778862885"/>
                </patternFill>
              </fill>
            </x14:dxf>
          </x14:cfRule>
          <xm:sqref>A33:XFD38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"/>
  <sheetViews>
    <sheetView tabSelected="1" workbookViewId="0">
      <pane ySplit="1" topLeftCell="A2" activePane="bottomLeft" state="frozen"/>
      <selection pane="bottomLeft"/>
    </sheetView>
  </sheetViews>
  <sheetFormatPr defaultRowHeight="13" x14ac:dyDescent="0.2"/>
  <cols>
    <col min="1" max="2" width="28" customWidth="1"/>
    <col min="3" max="3" width="70" customWidth="1"/>
  </cols>
  <sheetData>
    <row r="1" spans="1:3" ht="22" customHeight="1" x14ac:dyDescent="0.2">
      <c r="A1" t="s">
        <v>12</v>
      </c>
      <c r="B1" t="s">
        <v>13</v>
      </c>
      <c r="C1" t="s">
        <v>14</v>
      </c>
    </row>
    <row r="2" spans="1:3" ht="18.5" x14ac:dyDescent="0.55000000000000004">
      <c r="A2" t="s">
        <v>16</v>
      </c>
      <c r="B2" s="19" t="s">
        <v>17</v>
      </c>
      <c r="C2" t="s">
        <v>15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テーブル</vt:lpstr>
      <vt:lpstr>現新比較対象外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Fajie Wang</cp:lastModifiedBy>
  <dcterms:created xsi:type="dcterms:W3CDTF">2026-04-28T00:46:15Z</dcterms:created>
  <dcterms:modified xsi:type="dcterms:W3CDTF">2026-04-30T05:51:03Z</dcterms:modified>
</cp:coreProperties>
</file>