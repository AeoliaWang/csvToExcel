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jie\tool\csvToExcel\"/>
    </mc:Choice>
  </mc:AlternateContent>
  <xr:revisionPtr revIDLastSave="0" documentId="13_ncr:1_{7D247483-F9A3-4D28-876B-98BBEDC2C2E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テーブル" sheetId="1" r:id="rId1"/>
    <sheet name="現新比較対象外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6" i="1"/>
  <c r="C35" i="1"/>
  <c r="C26" i="1"/>
  <c r="C38" i="1"/>
  <c r="C37" i="1"/>
  <c r="Q14" i="1"/>
  <c r="Q25" i="1" s="1"/>
  <c r="Q40" i="1" s="1"/>
  <c r="P14" i="1"/>
  <c r="P25" i="1" s="1"/>
  <c r="P40" i="1" s="1"/>
  <c r="O14" i="1"/>
  <c r="O25" i="1" s="1"/>
  <c r="O40" i="1" s="1"/>
  <c r="N14" i="1"/>
  <c r="N25" i="1" s="1"/>
  <c r="N40" i="1" s="1"/>
  <c r="M14" i="1"/>
  <c r="M25" i="1" s="1"/>
  <c r="M40" i="1" s="1"/>
  <c r="L14" i="1"/>
  <c r="L25" i="1" s="1"/>
  <c r="L40" i="1" s="1"/>
  <c r="K14" i="1"/>
  <c r="K25" i="1" s="1"/>
  <c r="K40" i="1" s="1"/>
  <c r="J14" i="1"/>
  <c r="J25" i="1" s="1"/>
  <c r="J40" i="1" s="1"/>
  <c r="I14" i="1"/>
  <c r="I25" i="1" s="1"/>
  <c r="I40" i="1" s="1"/>
  <c r="H14" i="1"/>
  <c r="H25" i="1" s="1"/>
  <c r="H40" i="1" s="1"/>
  <c r="G14" i="1"/>
  <c r="G25" i="1" s="1"/>
  <c r="G40" i="1" s="1"/>
  <c r="F14" i="1"/>
  <c r="F25" i="1" s="1"/>
  <c r="F40" i="1" s="1"/>
  <c r="E14" i="1"/>
  <c r="E25" i="1" s="1"/>
  <c r="E40" i="1" s="1"/>
  <c r="D14" i="1"/>
  <c r="D25" i="1" s="1"/>
  <c r="D40" i="1" s="1"/>
  <c r="C14" i="1"/>
  <c r="C25" i="1" s="1"/>
  <c r="Q13" i="1"/>
  <c r="Q24" i="1" s="1"/>
  <c r="Q39" i="1" s="1"/>
  <c r="P13" i="1"/>
  <c r="P24" i="1" s="1"/>
  <c r="P39" i="1" s="1"/>
  <c r="O13" i="1"/>
  <c r="O24" i="1" s="1"/>
  <c r="O39" i="1" s="1"/>
  <c r="N13" i="1"/>
  <c r="N24" i="1" s="1"/>
  <c r="N39" i="1" s="1"/>
  <c r="M13" i="1"/>
  <c r="M24" i="1" s="1"/>
  <c r="M39" i="1" s="1"/>
  <c r="L13" i="1"/>
  <c r="L24" i="1" s="1"/>
  <c r="L39" i="1" s="1"/>
  <c r="K13" i="1"/>
  <c r="K24" i="1" s="1"/>
  <c r="K39" i="1" s="1"/>
  <c r="J13" i="1"/>
  <c r="J24" i="1" s="1"/>
  <c r="J39" i="1" s="1"/>
  <c r="I13" i="1"/>
  <c r="I24" i="1" s="1"/>
  <c r="I39" i="1" s="1"/>
  <c r="H13" i="1"/>
  <c r="H24" i="1" s="1"/>
  <c r="H39" i="1" s="1"/>
  <c r="G13" i="1"/>
  <c r="G24" i="1" s="1"/>
  <c r="G39" i="1" s="1"/>
  <c r="F13" i="1"/>
  <c r="F24" i="1" s="1"/>
  <c r="F39" i="1" s="1"/>
  <c r="E13" i="1"/>
  <c r="E24" i="1" s="1"/>
  <c r="E39" i="1" s="1"/>
  <c r="D13" i="1"/>
  <c r="D24" i="1" s="1"/>
  <c r="D39" i="1" s="1"/>
  <c r="C13" i="1"/>
  <c r="C24" i="1" s="1"/>
  <c r="C39" i="1" s="1"/>
  <c r="Q12" i="1"/>
  <c r="Q23" i="1" s="1"/>
  <c r="Q38" i="1" s="1"/>
  <c r="P12" i="1"/>
  <c r="P23" i="1" s="1"/>
  <c r="P38" i="1" s="1"/>
  <c r="O12" i="1"/>
  <c r="O23" i="1" s="1"/>
  <c r="O38" i="1" s="1"/>
  <c r="N12" i="1"/>
  <c r="N23" i="1" s="1"/>
  <c r="N38" i="1" s="1"/>
  <c r="M12" i="1"/>
  <c r="M23" i="1" s="1"/>
  <c r="M38" i="1" s="1"/>
  <c r="L12" i="1"/>
  <c r="L23" i="1" s="1"/>
  <c r="L38" i="1" s="1"/>
  <c r="K12" i="1"/>
  <c r="K23" i="1" s="1"/>
  <c r="K38" i="1" s="1"/>
  <c r="J12" i="1"/>
  <c r="J23" i="1" s="1"/>
  <c r="J38" i="1" s="1"/>
  <c r="I12" i="1"/>
  <c r="I23" i="1" s="1"/>
  <c r="I38" i="1" s="1"/>
  <c r="H12" i="1"/>
  <c r="G12" i="1"/>
  <c r="G23" i="1" s="1"/>
  <c r="G38" i="1" s="1"/>
  <c r="F12" i="1"/>
  <c r="F23" i="1" s="1"/>
  <c r="F38" i="1" s="1"/>
  <c r="E12" i="1"/>
  <c r="E23" i="1" s="1"/>
  <c r="E38" i="1" s="1"/>
  <c r="D12" i="1"/>
  <c r="D23" i="1" s="1"/>
  <c r="D38" i="1" s="1"/>
  <c r="C12" i="1"/>
  <c r="Q22" i="1"/>
  <c r="P22" i="1"/>
  <c r="O22" i="1"/>
  <c r="O37" i="1" s="1"/>
  <c r="N22" i="1"/>
  <c r="M22" i="1"/>
  <c r="L22" i="1"/>
  <c r="K22" i="1"/>
  <c r="J22" i="1"/>
  <c r="I22" i="1"/>
  <c r="I37" i="1" s="1"/>
  <c r="H22" i="1"/>
  <c r="H37" i="1" s="1"/>
  <c r="G22" i="1"/>
  <c r="F22" i="1"/>
  <c r="E22" i="1"/>
  <c r="E37" i="1" s="1"/>
  <c r="D22" i="1"/>
  <c r="Q21" i="1"/>
  <c r="P21" i="1"/>
  <c r="O21" i="1"/>
  <c r="O36" i="1" s="1"/>
  <c r="N21" i="1"/>
  <c r="M21" i="1"/>
  <c r="M36" i="1" s="1"/>
  <c r="L21" i="1"/>
  <c r="K21" i="1"/>
  <c r="J21" i="1"/>
  <c r="J36" i="1" s="1"/>
  <c r="I21" i="1"/>
  <c r="I36" i="1" s="1"/>
  <c r="H21" i="1"/>
  <c r="G21" i="1"/>
  <c r="F21" i="1"/>
  <c r="E21" i="1"/>
  <c r="E36" i="1" s="1"/>
  <c r="D21" i="1"/>
  <c r="Q20" i="1"/>
  <c r="Q35" i="1" s="1"/>
  <c r="P20" i="1"/>
  <c r="P35" i="1" s="1"/>
  <c r="O20" i="1"/>
  <c r="O35" i="1" s="1"/>
  <c r="N20" i="1"/>
  <c r="N35" i="1" s="1"/>
  <c r="M20" i="1"/>
  <c r="M35" i="1" s="1"/>
  <c r="L20" i="1"/>
  <c r="K20" i="1"/>
  <c r="J20" i="1"/>
  <c r="J35" i="1" s="1"/>
  <c r="I20" i="1"/>
  <c r="H20" i="1"/>
  <c r="H35" i="1" s="1"/>
  <c r="G20" i="1"/>
  <c r="G35" i="1" s="1"/>
  <c r="F20" i="1"/>
  <c r="F35" i="1" s="1"/>
  <c r="E20" i="1"/>
  <c r="E35" i="1" s="1"/>
  <c r="D20" i="1"/>
  <c r="D35" i="1" s="1"/>
  <c r="F28" i="1" l="1"/>
  <c r="P28" i="1"/>
  <c r="K27" i="1"/>
  <c r="Q28" i="1"/>
  <c r="J28" i="1"/>
  <c r="D27" i="1"/>
  <c r="N27" i="1"/>
  <c r="C27" i="1"/>
  <c r="E27" i="1"/>
  <c r="M27" i="1"/>
  <c r="J26" i="1"/>
  <c r="D36" i="1"/>
  <c r="J37" i="1"/>
  <c r="G28" i="1"/>
  <c r="K36" i="1"/>
  <c r="P37" i="1"/>
  <c r="F26" i="1"/>
  <c r="P26" i="1"/>
  <c r="L27" i="1"/>
  <c r="L36" i="1"/>
  <c r="Q37" i="1"/>
  <c r="G26" i="1"/>
  <c r="N36" i="1"/>
  <c r="I26" i="1"/>
  <c r="F37" i="1"/>
  <c r="G37" i="1"/>
  <c r="Q26" i="1"/>
  <c r="K37" i="1"/>
  <c r="K28" i="1"/>
  <c r="F36" i="1"/>
  <c r="F27" i="1"/>
  <c r="P36" i="1"/>
  <c r="P27" i="1"/>
  <c r="L37" i="1"/>
  <c r="L28" i="1"/>
  <c r="O27" i="1"/>
  <c r="K35" i="1"/>
  <c r="K26" i="1"/>
  <c r="G36" i="1"/>
  <c r="G27" i="1"/>
  <c r="Q36" i="1"/>
  <c r="Q27" i="1"/>
  <c r="M37" i="1"/>
  <c r="M28" i="1"/>
  <c r="H28" i="1"/>
  <c r="L35" i="1"/>
  <c r="L26" i="1"/>
  <c r="H36" i="1"/>
  <c r="H27" i="1"/>
  <c r="D37" i="1"/>
  <c r="D28" i="1"/>
  <c r="N37" i="1"/>
  <c r="N28" i="1"/>
  <c r="I35" i="1"/>
  <c r="I28" i="1"/>
  <c r="C40" i="1"/>
  <c r="C28" i="1"/>
  <c r="M26" i="1"/>
  <c r="D26" i="1"/>
  <c r="N26" i="1"/>
  <c r="I27" i="1"/>
  <c r="E26" i="1"/>
  <c r="O26" i="1"/>
  <c r="J27" i="1"/>
  <c r="E28" i="1"/>
  <c r="O28" i="1"/>
  <c r="B12" i="1"/>
  <c r="B13" i="1"/>
  <c r="B14" i="1"/>
  <c r="H23" i="1"/>
  <c r="B27" i="1" l="1"/>
  <c r="H38" i="1"/>
  <c r="H26" i="1"/>
  <c r="B26" i="1" s="1"/>
  <c r="B28" i="1"/>
</calcChain>
</file>

<file path=xl/sharedStrings.xml><?xml version="1.0" encoding="utf-8"?>
<sst xmlns="http://schemas.openxmlformats.org/spreadsheetml/2006/main" count="23" uniqueCount="18">
  <si>
    <t>現</t>
  </si>
  <si>
    <t>新</t>
  </si>
  <si>
    <t>現</t>
    <phoneticPr fontId="2"/>
  </si>
  <si>
    <t>打鍵前</t>
    <phoneticPr fontId="2"/>
  </si>
  <si>
    <t>テーブル名</t>
    <rPh sb="4" eb="5">
      <t>メイ</t>
    </rPh>
    <phoneticPr fontId="2"/>
  </si>
  <si>
    <t>打鍵後</t>
    <phoneticPr fontId="2"/>
  </si>
  <si>
    <t>打鍵前件数</t>
    <phoneticPr fontId="2"/>
  </si>
  <si>
    <t>打鍵后件数</t>
    <phoneticPr fontId="2"/>
  </si>
  <si>
    <t>件数差异</t>
    <phoneticPr fontId="2"/>
  </si>
  <si>
    <t>a</t>
    <phoneticPr fontId="2"/>
  </si>
  <si>
    <t>テーブル名</t>
  </si>
  <si>
    <t>項目名</t>
  </si>
  <si>
    <t>備考</t>
  </si>
  <si>
    <t>テーブル名に * を指定すると全テーブル共通。A列=テーブル名、B列=比較対象外にする項目名を入力してください。</t>
    <phoneticPr fontId="2"/>
  </si>
  <si>
    <t>*</t>
    <phoneticPr fontId="2"/>
  </si>
  <si>
    <t>日期</t>
    <phoneticPr fontId="2"/>
  </si>
  <si>
    <t>取得SQL(現)</t>
    <rPh sb="6" eb="7">
      <t>ゲン</t>
    </rPh>
    <phoneticPr fontId="2"/>
  </si>
  <si>
    <t>取得SQL(新)</t>
    <rPh sb="6" eb="7">
      <t>シン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</si>
</sst>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theme="1"/>
      <name val="Noto Sans JP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  <bgColor rgb="FFC6EFCE"/>
      </patternFill>
    </fill>
    <fill>
      <patternFill patternType="solid">
        <fgColor theme="3" tint="0.79998168889431442"/>
        <bgColor rgb="FFD9D9D9"/>
      </patternFill>
    </fill>
    <fill>
      <patternFill patternType="solid">
        <fgColor theme="9" tint="0.59999389629810485"/>
        <bgColor rgb="FFFFD966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6" borderId="0" xfId="0" applyFont="1" applyFill="1"/>
    <xf numFmtId="0" fontId="0" fillId="6" borderId="0" xfId="0" applyFill="1"/>
    <xf numFmtId="0" fontId="4" fillId="0" borderId="0" xfId="0" applyFont="1"/>
    <xf numFmtId="0" fontId="4" fillId="0" borderId="6" xfId="0" applyFont="1" applyBorder="1"/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</cellXfs>
  <cellStyles count="1">
    <cellStyle name="標準" xfId="0" builtinId="0"/>
  </cellStyles>
  <dxfs count="8"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6" tint="0.59996337778862885"/>
        </patternFill>
      </fill>
    </dxf>
  </dxfs>
  <tableStyles count="0" defaultTableStyle="TableStyleMedium9" defaultPivotStyle="PivotStyleLight16"/>
  <colors>
    <mruColors>
      <color rgb="FF9C000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workbookViewId="0"/>
  </sheetViews>
  <sheetFormatPr defaultRowHeight="13" x14ac:dyDescent="0.2"/>
  <cols>
    <col min="1" max="18" width="12" customWidth="1"/>
  </cols>
  <sheetData>
    <row r="1" spans="1:17" s="18" customFormat="1" ht="14" x14ac:dyDescent="0.2">
      <c r="A1" s="17" t="s">
        <v>4</v>
      </c>
    </row>
    <row r="2" spans="1:17" ht="16.5" x14ac:dyDescent="0.25">
      <c r="B2" s="1" t="s">
        <v>3</v>
      </c>
    </row>
    <row r="3" spans="1:17" x14ac:dyDescent="0.2">
      <c r="B3" t="s">
        <v>16</v>
      </c>
    </row>
    <row r="4" spans="1:17" ht="13.5" thickBot="1" x14ac:dyDescent="0.25">
      <c r="B4" t="s">
        <v>17</v>
      </c>
    </row>
    <row r="5" spans="1:17" ht="13.5" thickBot="1" x14ac:dyDescent="0.25"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</row>
    <row r="6" spans="1:17" ht="18.5" x14ac:dyDescent="0.55000000000000004">
      <c r="B6" s="24" t="s">
        <v>2</v>
      </c>
      <c r="C6" s="20" t="s">
        <v>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10"/>
    </row>
    <row r="7" spans="1:17" x14ac:dyDescent="0.2">
      <c r="B7" s="25"/>
      <c r="C7" s="9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0"/>
    </row>
    <row r="8" spans="1:17" ht="13.5" thickBot="1" x14ac:dyDescent="0.25">
      <c r="B8" s="2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</row>
    <row r="9" spans="1:17" x14ac:dyDescent="0.2">
      <c r="B9" s="21" t="s">
        <v>1</v>
      </c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6"/>
    </row>
    <row r="10" spans="1:17" x14ac:dyDescent="0.2">
      <c r="B10" s="22"/>
      <c r="C10" s="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10"/>
    </row>
    <row r="11" spans="1:17" ht="13.5" thickBot="1" x14ac:dyDescent="0.25">
      <c r="B11" s="23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</row>
    <row r="12" spans="1:17" x14ac:dyDescent="0.2">
      <c r="B12" t="str">
        <f>IF(COUNTIF(C12:W12,FALSE)&gt;0,"差分あり","差分なし")</f>
        <v>差分あり</v>
      </c>
      <c r="C12" s="5" t="b">
        <f>IF(AND(C6="",C9=""),"",EXACT(C6,C9))</f>
        <v>0</v>
      </c>
      <c r="D12" s="5" t="str">
        <f t="shared" ref="D12:Q12" si="0">IF(AND(D6="",D9=""),"",EXACT(D6,D9))</f>
        <v/>
      </c>
      <c r="E12" s="5" t="str">
        <f t="shared" si="0"/>
        <v/>
      </c>
      <c r="F12" s="5" t="str">
        <f t="shared" si="0"/>
        <v/>
      </c>
      <c r="G12" s="5" t="str">
        <f t="shared" si="0"/>
        <v/>
      </c>
      <c r="H12" s="5" t="str">
        <f t="shared" si="0"/>
        <v/>
      </c>
      <c r="I12" s="5" t="str">
        <f t="shared" si="0"/>
        <v/>
      </c>
      <c r="J12" s="5" t="str">
        <f t="shared" si="0"/>
        <v/>
      </c>
      <c r="K12" s="5" t="str">
        <f t="shared" si="0"/>
        <v/>
      </c>
      <c r="L12" s="5" t="str">
        <f t="shared" si="0"/>
        <v/>
      </c>
      <c r="M12" s="5" t="str">
        <f t="shared" si="0"/>
        <v/>
      </c>
      <c r="N12" s="5" t="str">
        <f t="shared" si="0"/>
        <v/>
      </c>
      <c r="O12" s="5" t="str">
        <f t="shared" si="0"/>
        <v/>
      </c>
      <c r="P12" s="5" t="str">
        <f t="shared" si="0"/>
        <v/>
      </c>
      <c r="Q12" s="5" t="str">
        <f t="shared" si="0"/>
        <v/>
      </c>
    </row>
    <row r="13" spans="1:17" x14ac:dyDescent="0.2">
      <c r="B13" t="str">
        <f t="shared" ref="B13:B14" si="1">IF(COUNTIF(C13:W13,FALSE)&gt;0,"差分あり","差分なし")</f>
        <v>差分なし</v>
      </c>
      <c r="C13" s="5" t="str">
        <f t="shared" ref="C13:Q13" si="2">IF(AND(C7="",C10=""),"",EXACT(C7,C10))</f>
        <v/>
      </c>
      <c r="D13" s="5" t="str">
        <f t="shared" si="2"/>
        <v/>
      </c>
      <c r="E13" s="5" t="str">
        <f t="shared" si="2"/>
        <v/>
      </c>
      <c r="F13" s="5" t="str">
        <f t="shared" si="2"/>
        <v/>
      </c>
      <c r="G13" s="5" t="str">
        <f t="shared" si="2"/>
        <v/>
      </c>
      <c r="H13" s="5" t="str">
        <f t="shared" si="2"/>
        <v/>
      </c>
      <c r="I13" s="5" t="str">
        <f t="shared" si="2"/>
        <v/>
      </c>
      <c r="J13" s="5" t="str">
        <f t="shared" si="2"/>
        <v/>
      </c>
      <c r="K13" s="5" t="str">
        <f t="shared" si="2"/>
        <v/>
      </c>
      <c r="L13" s="5" t="str">
        <f t="shared" si="2"/>
        <v/>
      </c>
      <c r="M13" s="5" t="str">
        <f t="shared" si="2"/>
        <v/>
      </c>
      <c r="N13" s="5" t="str">
        <f t="shared" si="2"/>
        <v/>
      </c>
      <c r="O13" s="5" t="str">
        <f t="shared" si="2"/>
        <v/>
      </c>
      <c r="P13" s="5" t="str">
        <f t="shared" si="2"/>
        <v/>
      </c>
      <c r="Q13" s="5" t="str">
        <f t="shared" si="2"/>
        <v/>
      </c>
    </row>
    <row r="14" spans="1:17" x14ac:dyDescent="0.2">
      <c r="B14" t="str">
        <f t="shared" si="1"/>
        <v>差分なし</v>
      </c>
      <c r="C14" s="5" t="str">
        <f t="shared" ref="C14:Q14" si="3">IF(AND(C8="",C11=""),"",EXACT(C8,C11))</f>
        <v/>
      </c>
      <c r="D14" s="5" t="str">
        <f t="shared" si="3"/>
        <v/>
      </c>
      <c r="E14" s="5" t="str">
        <f t="shared" si="3"/>
        <v/>
      </c>
      <c r="F14" s="5" t="str">
        <f t="shared" si="3"/>
        <v/>
      </c>
      <c r="G14" s="5" t="str">
        <f t="shared" si="3"/>
        <v/>
      </c>
      <c r="H14" s="5" t="str">
        <f t="shared" si="3"/>
        <v/>
      </c>
      <c r="I14" s="5" t="str">
        <f t="shared" si="3"/>
        <v/>
      </c>
      <c r="J14" s="5" t="str">
        <f t="shared" si="3"/>
        <v/>
      </c>
      <c r="K14" s="5" t="str">
        <f t="shared" si="3"/>
        <v/>
      </c>
      <c r="L14" s="5" t="str">
        <f t="shared" si="3"/>
        <v/>
      </c>
      <c r="M14" s="5" t="str">
        <f t="shared" si="3"/>
        <v/>
      </c>
      <c r="N14" s="5" t="str">
        <f t="shared" si="3"/>
        <v/>
      </c>
      <c r="O14" s="5" t="str">
        <f t="shared" si="3"/>
        <v/>
      </c>
      <c r="P14" s="5" t="str">
        <f t="shared" si="3"/>
        <v/>
      </c>
      <c r="Q14" s="5" t="str">
        <f t="shared" si="3"/>
        <v/>
      </c>
    </row>
    <row r="16" spans="1:17" ht="16.5" x14ac:dyDescent="0.25">
      <c r="B16" s="1" t="s">
        <v>5</v>
      </c>
    </row>
    <row r="17" spans="2:17" x14ac:dyDescent="0.2">
      <c r="B17" t="s">
        <v>16</v>
      </c>
    </row>
    <row r="18" spans="2:17" x14ac:dyDescent="0.2">
      <c r="B18" t="s">
        <v>17</v>
      </c>
    </row>
    <row r="19" spans="2:17" ht="13.5" thickBo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x14ac:dyDescent="0.2">
      <c r="B20" s="24" t="s">
        <v>0</v>
      </c>
      <c r="C20" s="3"/>
      <c r="D20" s="3" t="str">
        <f t="shared" ref="D20:Q20" si="4">IF(AND(D6="",D9=""),"",EXACT(D6,D9))</f>
        <v/>
      </c>
      <c r="E20" s="3" t="str">
        <f t="shared" si="4"/>
        <v/>
      </c>
      <c r="F20" s="3" t="str">
        <f t="shared" si="4"/>
        <v/>
      </c>
      <c r="G20" s="3" t="str">
        <f t="shared" si="4"/>
        <v/>
      </c>
      <c r="H20" s="3" t="str">
        <f t="shared" si="4"/>
        <v/>
      </c>
      <c r="I20" s="3" t="str">
        <f t="shared" si="4"/>
        <v/>
      </c>
      <c r="J20" s="3" t="str">
        <f t="shared" si="4"/>
        <v/>
      </c>
      <c r="K20" s="3" t="str">
        <f t="shared" si="4"/>
        <v/>
      </c>
      <c r="L20" s="3" t="str">
        <f t="shared" si="4"/>
        <v/>
      </c>
      <c r="M20" s="3" t="str">
        <f t="shared" si="4"/>
        <v/>
      </c>
      <c r="N20" s="3" t="str">
        <f t="shared" si="4"/>
        <v/>
      </c>
      <c r="O20" s="3" t="str">
        <f t="shared" si="4"/>
        <v/>
      </c>
      <c r="P20" s="3" t="str">
        <f t="shared" si="4"/>
        <v/>
      </c>
      <c r="Q20" s="3" t="str">
        <f t="shared" si="4"/>
        <v/>
      </c>
    </row>
    <row r="21" spans="2:17" x14ac:dyDescent="0.2">
      <c r="B21" s="25"/>
      <c r="C21" s="3"/>
      <c r="D21" s="3" t="str">
        <f t="shared" ref="D21:Q21" si="5">IF(AND(D7="",D10=""),"",EXACT(D7,D10))</f>
        <v/>
      </c>
      <c r="E21" s="3" t="str">
        <f t="shared" si="5"/>
        <v/>
      </c>
      <c r="F21" s="3" t="str">
        <f t="shared" si="5"/>
        <v/>
      </c>
      <c r="G21" s="3" t="str">
        <f t="shared" si="5"/>
        <v/>
      </c>
      <c r="H21" s="3" t="str">
        <f t="shared" si="5"/>
        <v/>
      </c>
      <c r="I21" s="3" t="str">
        <f t="shared" si="5"/>
        <v/>
      </c>
      <c r="J21" s="3" t="str">
        <f t="shared" si="5"/>
        <v/>
      </c>
      <c r="K21" s="3" t="str">
        <f t="shared" si="5"/>
        <v/>
      </c>
      <c r="L21" s="3" t="str">
        <f t="shared" si="5"/>
        <v/>
      </c>
      <c r="M21" s="3" t="str">
        <f t="shared" si="5"/>
        <v/>
      </c>
      <c r="N21" s="3" t="str">
        <f t="shared" si="5"/>
        <v/>
      </c>
      <c r="O21" s="3" t="str">
        <f t="shared" si="5"/>
        <v/>
      </c>
      <c r="P21" s="3" t="str">
        <f t="shared" si="5"/>
        <v/>
      </c>
      <c r="Q21" s="3" t="str">
        <f t="shared" si="5"/>
        <v/>
      </c>
    </row>
    <row r="22" spans="2:17" ht="13.5" thickBot="1" x14ac:dyDescent="0.25">
      <c r="B22" s="26"/>
      <c r="C22" s="3"/>
      <c r="D22" s="3" t="str">
        <f t="shared" ref="D22:Q22" si="6">IF(AND(D8="",D11=""),"",EXACT(D8,D11))</f>
        <v/>
      </c>
      <c r="E22" s="3" t="str">
        <f t="shared" si="6"/>
        <v/>
      </c>
      <c r="F22" s="3" t="str">
        <f t="shared" si="6"/>
        <v/>
      </c>
      <c r="G22" s="3" t="str">
        <f t="shared" si="6"/>
        <v/>
      </c>
      <c r="H22" s="3" t="str">
        <f t="shared" si="6"/>
        <v/>
      </c>
      <c r="I22" s="3" t="str">
        <f t="shared" si="6"/>
        <v/>
      </c>
      <c r="J22" s="3" t="str">
        <f t="shared" si="6"/>
        <v/>
      </c>
      <c r="K22" s="3" t="str">
        <f t="shared" si="6"/>
        <v/>
      </c>
      <c r="L22" s="3" t="str">
        <f t="shared" si="6"/>
        <v/>
      </c>
      <c r="M22" s="3" t="str">
        <f t="shared" si="6"/>
        <v/>
      </c>
      <c r="N22" s="3" t="str">
        <f t="shared" si="6"/>
        <v/>
      </c>
      <c r="O22" s="3" t="str">
        <f t="shared" si="6"/>
        <v/>
      </c>
      <c r="P22" s="3" t="str">
        <f t="shared" si="6"/>
        <v/>
      </c>
      <c r="Q22" s="3" t="str">
        <f t="shared" si="6"/>
        <v/>
      </c>
    </row>
    <row r="23" spans="2:17" x14ac:dyDescent="0.2">
      <c r="B23" s="21" t="s">
        <v>1</v>
      </c>
      <c r="C23" s="3"/>
      <c r="D23" s="3" t="str">
        <f t="shared" ref="D23:Q23" si="7">IF(AND(D9="",D12=""),"",EXACT(D9,D12))</f>
        <v/>
      </c>
      <c r="E23" s="3" t="str">
        <f t="shared" si="7"/>
        <v/>
      </c>
      <c r="F23" s="3" t="str">
        <f t="shared" si="7"/>
        <v/>
      </c>
      <c r="G23" s="3" t="str">
        <f t="shared" si="7"/>
        <v/>
      </c>
      <c r="H23" s="3" t="str">
        <f t="shared" si="7"/>
        <v/>
      </c>
      <c r="I23" s="3" t="str">
        <f t="shared" si="7"/>
        <v/>
      </c>
      <c r="J23" s="3" t="str">
        <f t="shared" si="7"/>
        <v/>
      </c>
      <c r="K23" s="3" t="str">
        <f t="shared" si="7"/>
        <v/>
      </c>
      <c r="L23" s="3" t="str">
        <f t="shared" si="7"/>
        <v/>
      </c>
      <c r="M23" s="3" t="str">
        <f t="shared" si="7"/>
        <v/>
      </c>
      <c r="N23" s="3" t="str">
        <f t="shared" si="7"/>
        <v/>
      </c>
      <c r="O23" s="3" t="str">
        <f t="shared" si="7"/>
        <v/>
      </c>
      <c r="P23" s="3" t="str">
        <f t="shared" si="7"/>
        <v/>
      </c>
      <c r="Q23" s="3" t="str">
        <f t="shared" si="7"/>
        <v/>
      </c>
    </row>
    <row r="24" spans="2:17" x14ac:dyDescent="0.2">
      <c r="B24" s="22"/>
      <c r="C24" s="3" t="str">
        <f>IF(AND(C10="",C13=""),"",EXACT(C10,C13))</f>
        <v/>
      </c>
      <c r="D24" s="3" t="str">
        <f t="shared" ref="D24:Q24" si="8">IF(AND(D10="",D13=""),"",EXACT(D10,D13))</f>
        <v/>
      </c>
      <c r="E24" s="3" t="str">
        <f t="shared" si="8"/>
        <v/>
      </c>
      <c r="F24" s="3" t="str">
        <f t="shared" si="8"/>
        <v/>
      </c>
      <c r="G24" s="3" t="str">
        <f t="shared" si="8"/>
        <v/>
      </c>
      <c r="H24" s="3" t="str">
        <f t="shared" si="8"/>
        <v/>
      </c>
      <c r="I24" s="3" t="str">
        <f t="shared" si="8"/>
        <v/>
      </c>
      <c r="J24" s="3" t="str">
        <f t="shared" si="8"/>
        <v/>
      </c>
      <c r="K24" s="3" t="str">
        <f t="shared" si="8"/>
        <v/>
      </c>
      <c r="L24" s="3" t="str">
        <f t="shared" si="8"/>
        <v/>
      </c>
      <c r="M24" s="3" t="str">
        <f t="shared" si="8"/>
        <v/>
      </c>
      <c r="N24" s="3" t="str">
        <f t="shared" si="8"/>
        <v/>
      </c>
      <c r="O24" s="3" t="str">
        <f t="shared" si="8"/>
        <v/>
      </c>
      <c r="P24" s="3" t="str">
        <f t="shared" si="8"/>
        <v/>
      </c>
      <c r="Q24" s="3" t="str">
        <f t="shared" si="8"/>
        <v/>
      </c>
    </row>
    <row r="25" spans="2:17" ht="13.5" thickBot="1" x14ac:dyDescent="0.25">
      <c r="B25" s="23"/>
      <c r="C25" s="3" t="str">
        <f>IF(AND(C11="",C14=""),"",EXACT(C11,C14))</f>
        <v/>
      </c>
      <c r="D25" s="3" t="str">
        <f t="shared" ref="D25:Q25" si="9">IF(AND(D11="",D14=""),"",EXACT(D11,D14))</f>
        <v/>
      </c>
      <c r="E25" s="3" t="str">
        <f t="shared" si="9"/>
        <v/>
      </c>
      <c r="F25" s="3" t="str">
        <f t="shared" si="9"/>
        <v/>
      </c>
      <c r="G25" s="3" t="str">
        <f t="shared" si="9"/>
        <v/>
      </c>
      <c r="H25" s="3" t="str">
        <f t="shared" si="9"/>
        <v/>
      </c>
      <c r="I25" s="3" t="str">
        <f t="shared" si="9"/>
        <v/>
      </c>
      <c r="J25" s="3" t="str">
        <f t="shared" si="9"/>
        <v/>
      </c>
      <c r="K25" s="3" t="str">
        <f t="shared" si="9"/>
        <v/>
      </c>
      <c r="L25" s="3" t="str">
        <f t="shared" si="9"/>
        <v/>
      </c>
      <c r="M25" s="3" t="str">
        <f t="shared" si="9"/>
        <v/>
      </c>
      <c r="N25" s="3" t="str">
        <f t="shared" si="9"/>
        <v/>
      </c>
      <c r="O25" s="3" t="str">
        <f t="shared" si="9"/>
        <v/>
      </c>
      <c r="P25" s="3" t="str">
        <f t="shared" si="9"/>
        <v/>
      </c>
      <c r="Q25" s="3" t="str">
        <f t="shared" si="9"/>
        <v/>
      </c>
    </row>
    <row r="26" spans="2:17" x14ac:dyDescent="0.2">
      <c r="B26" t="str">
        <f>IF(COUNTIF(C26:W26,FALSE)&gt;0,"差分あり","差分なし")</f>
        <v>差分なし</v>
      </c>
      <c r="C26" s="5" t="str">
        <f>IF(AND(C20="",C23=""),"",EXACT(C20,C23))</f>
        <v/>
      </c>
      <c r="D26" s="5" t="str">
        <f t="shared" ref="D26:Q26" si="10">IF(AND(D20="",D23=""),"",EXACT(D20,D23))</f>
        <v/>
      </c>
      <c r="E26" s="5" t="str">
        <f t="shared" si="10"/>
        <v/>
      </c>
      <c r="F26" s="5" t="str">
        <f t="shared" si="10"/>
        <v/>
      </c>
      <c r="G26" s="5" t="str">
        <f t="shared" si="10"/>
        <v/>
      </c>
      <c r="H26" s="5" t="str">
        <f t="shared" si="10"/>
        <v/>
      </c>
      <c r="I26" s="5" t="str">
        <f t="shared" si="10"/>
        <v/>
      </c>
      <c r="J26" s="5" t="str">
        <f t="shared" si="10"/>
        <v/>
      </c>
      <c r="K26" s="5" t="str">
        <f t="shared" si="10"/>
        <v/>
      </c>
      <c r="L26" s="5" t="str">
        <f t="shared" si="10"/>
        <v/>
      </c>
      <c r="M26" s="5" t="str">
        <f t="shared" si="10"/>
        <v/>
      </c>
      <c r="N26" s="5" t="str">
        <f t="shared" si="10"/>
        <v/>
      </c>
      <c r="O26" s="5" t="str">
        <f t="shared" si="10"/>
        <v/>
      </c>
      <c r="P26" s="5" t="str">
        <f t="shared" si="10"/>
        <v/>
      </c>
      <c r="Q26" s="5" t="str">
        <f t="shared" si="10"/>
        <v/>
      </c>
    </row>
    <row r="27" spans="2:17" x14ac:dyDescent="0.2">
      <c r="B27" t="str">
        <f t="shared" ref="B27:B28" si="11">IF(COUNTIF(C27:W27,FALSE)&gt;0,"差分あり","差分なし")</f>
        <v>差分なし</v>
      </c>
      <c r="C27" s="5" t="str">
        <f t="shared" ref="C27:Q27" si="12">IF(AND(C21="",C24=""),"",EXACT(C21,C24))</f>
        <v/>
      </c>
      <c r="D27" s="5" t="str">
        <f t="shared" si="12"/>
        <v/>
      </c>
      <c r="E27" s="5" t="str">
        <f t="shared" si="12"/>
        <v/>
      </c>
      <c r="F27" s="5" t="str">
        <f t="shared" si="12"/>
        <v/>
      </c>
      <c r="G27" s="5" t="str">
        <f t="shared" si="12"/>
        <v/>
      </c>
      <c r="H27" s="5" t="str">
        <f t="shared" si="12"/>
        <v/>
      </c>
      <c r="I27" s="5" t="str">
        <f t="shared" si="12"/>
        <v/>
      </c>
      <c r="J27" s="5" t="str">
        <f t="shared" si="12"/>
        <v/>
      </c>
      <c r="K27" s="5" t="str">
        <f t="shared" si="12"/>
        <v/>
      </c>
      <c r="L27" s="5" t="str">
        <f t="shared" si="12"/>
        <v/>
      </c>
      <c r="M27" s="5" t="str">
        <f t="shared" si="12"/>
        <v/>
      </c>
      <c r="N27" s="5" t="str">
        <f t="shared" si="12"/>
        <v/>
      </c>
      <c r="O27" s="5" t="str">
        <f t="shared" si="12"/>
        <v/>
      </c>
      <c r="P27" s="5" t="str">
        <f t="shared" si="12"/>
        <v/>
      </c>
      <c r="Q27" s="5" t="str">
        <f t="shared" si="12"/>
        <v/>
      </c>
    </row>
    <row r="28" spans="2:17" x14ac:dyDescent="0.2">
      <c r="B28" t="str">
        <f t="shared" si="11"/>
        <v>差分なし</v>
      </c>
      <c r="C28" s="5" t="str">
        <f t="shared" ref="C28:Q28" si="13">IF(AND(C22="",C25=""),"",EXACT(C22,C25))</f>
        <v/>
      </c>
      <c r="D28" s="5" t="str">
        <f t="shared" si="13"/>
        <v/>
      </c>
      <c r="E28" s="5" t="str">
        <f t="shared" si="13"/>
        <v/>
      </c>
      <c r="F28" s="5" t="str">
        <f t="shared" si="13"/>
        <v/>
      </c>
      <c r="G28" s="5" t="str">
        <f t="shared" si="13"/>
        <v/>
      </c>
      <c r="H28" s="5" t="str">
        <f t="shared" si="13"/>
        <v/>
      </c>
      <c r="I28" s="5" t="str">
        <f t="shared" si="13"/>
        <v/>
      </c>
      <c r="J28" s="5" t="str">
        <f t="shared" si="13"/>
        <v/>
      </c>
      <c r="K28" s="5" t="str">
        <f t="shared" si="13"/>
        <v/>
      </c>
      <c r="L28" s="5" t="str">
        <f t="shared" si="13"/>
        <v/>
      </c>
      <c r="M28" s="5" t="str">
        <f t="shared" si="13"/>
        <v/>
      </c>
      <c r="N28" s="5" t="str">
        <f t="shared" si="13"/>
        <v/>
      </c>
      <c r="O28" s="5" t="str">
        <f t="shared" si="13"/>
        <v/>
      </c>
      <c r="P28" s="5" t="str">
        <f t="shared" si="13"/>
        <v/>
      </c>
      <c r="Q28" s="5" t="str">
        <f t="shared" si="13"/>
        <v/>
      </c>
    </row>
    <row r="30" spans="2:17" x14ac:dyDescent="0.2">
      <c r="B30" t="s">
        <v>6</v>
      </c>
    </row>
    <row r="31" spans="2:17" x14ac:dyDescent="0.2">
      <c r="B31" t="s">
        <v>7</v>
      </c>
    </row>
    <row r="32" spans="2:17" ht="18.5" x14ac:dyDescent="0.55000000000000004">
      <c r="B32" s="19" t="s">
        <v>8</v>
      </c>
      <c r="C32">
        <f>C31-C30</f>
        <v>0</v>
      </c>
    </row>
    <row r="34" spans="2:17" ht="13.5" thickBot="1" x14ac:dyDescent="0.2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">
      <c r="B35" s="24" t="s">
        <v>0</v>
      </c>
      <c r="C35" s="4" t="b">
        <f t="shared" ref="C35:Q35" si="14">EXACT(C6,C20)</f>
        <v>0</v>
      </c>
      <c r="D35" s="4" t="b">
        <f t="shared" si="14"/>
        <v>1</v>
      </c>
      <c r="E35" s="4" t="b">
        <f t="shared" si="14"/>
        <v>1</v>
      </c>
      <c r="F35" s="4" t="b">
        <f t="shared" si="14"/>
        <v>1</v>
      </c>
      <c r="G35" s="4" t="b">
        <f t="shared" si="14"/>
        <v>1</v>
      </c>
      <c r="H35" s="4" t="b">
        <f t="shared" si="14"/>
        <v>1</v>
      </c>
      <c r="I35" s="4" t="b">
        <f t="shared" si="14"/>
        <v>1</v>
      </c>
      <c r="J35" s="4" t="b">
        <f t="shared" si="14"/>
        <v>1</v>
      </c>
      <c r="K35" s="4" t="b">
        <f t="shared" si="14"/>
        <v>1</v>
      </c>
      <c r="L35" s="4" t="b">
        <f t="shared" si="14"/>
        <v>1</v>
      </c>
      <c r="M35" s="4" t="b">
        <f t="shared" si="14"/>
        <v>1</v>
      </c>
      <c r="N35" s="4" t="b">
        <f t="shared" si="14"/>
        <v>1</v>
      </c>
      <c r="O35" s="4" t="b">
        <f t="shared" si="14"/>
        <v>1</v>
      </c>
      <c r="P35" s="4" t="b">
        <f t="shared" si="14"/>
        <v>1</v>
      </c>
      <c r="Q35" s="4" t="b">
        <f t="shared" si="14"/>
        <v>1</v>
      </c>
    </row>
    <row r="36" spans="2:17" x14ac:dyDescent="0.2">
      <c r="B36" s="25"/>
      <c r="C36" s="4" t="b">
        <f t="shared" ref="C36:Q36" si="15">EXACT(C7,C21)</f>
        <v>1</v>
      </c>
      <c r="D36" s="4" t="b">
        <f t="shared" si="15"/>
        <v>1</v>
      </c>
      <c r="E36" s="4" t="b">
        <f t="shared" si="15"/>
        <v>1</v>
      </c>
      <c r="F36" s="4" t="b">
        <f t="shared" si="15"/>
        <v>1</v>
      </c>
      <c r="G36" s="4" t="b">
        <f t="shared" si="15"/>
        <v>1</v>
      </c>
      <c r="H36" s="4" t="b">
        <f t="shared" si="15"/>
        <v>1</v>
      </c>
      <c r="I36" s="4" t="b">
        <f t="shared" si="15"/>
        <v>1</v>
      </c>
      <c r="J36" s="4" t="b">
        <f t="shared" si="15"/>
        <v>1</v>
      </c>
      <c r="K36" s="4" t="b">
        <f t="shared" si="15"/>
        <v>1</v>
      </c>
      <c r="L36" s="4" t="b">
        <f t="shared" si="15"/>
        <v>1</v>
      </c>
      <c r="M36" s="4" t="b">
        <f t="shared" si="15"/>
        <v>1</v>
      </c>
      <c r="N36" s="4" t="b">
        <f t="shared" si="15"/>
        <v>1</v>
      </c>
      <c r="O36" s="4" t="b">
        <f t="shared" si="15"/>
        <v>1</v>
      </c>
      <c r="P36" s="4" t="b">
        <f t="shared" si="15"/>
        <v>1</v>
      </c>
      <c r="Q36" s="4" t="b">
        <f t="shared" si="15"/>
        <v>1</v>
      </c>
    </row>
    <row r="37" spans="2:17" ht="13.5" thickBot="1" x14ac:dyDescent="0.25">
      <c r="B37" s="26"/>
      <c r="C37" s="4" t="b">
        <f t="shared" ref="C37:Q37" si="16">EXACT(C8,C22)</f>
        <v>1</v>
      </c>
      <c r="D37" s="4" t="b">
        <f t="shared" si="16"/>
        <v>1</v>
      </c>
      <c r="E37" s="4" t="b">
        <f t="shared" si="16"/>
        <v>1</v>
      </c>
      <c r="F37" s="4" t="b">
        <f t="shared" si="16"/>
        <v>1</v>
      </c>
      <c r="G37" s="4" t="b">
        <f t="shared" si="16"/>
        <v>1</v>
      </c>
      <c r="H37" s="4" t="b">
        <f t="shared" si="16"/>
        <v>1</v>
      </c>
      <c r="I37" s="4" t="b">
        <f t="shared" si="16"/>
        <v>1</v>
      </c>
      <c r="J37" s="4" t="b">
        <f t="shared" si="16"/>
        <v>1</v>
      </c>
      <c r="K37" s="4" t="b">
        <f t="shared" si="16"/>
        <v>1</v>
      </c>
      <c r="L37" s="4" t="b">
        <f t="shared" si="16"/>
        <v>1</v>
      </c>
      <c r="M37" s="4" t="b">
        <f t="shared" si="16"/>
        <v>1</v>
      </c>
      <c r="N37" s="4" t="b">
        <f t="shared" si="16"/>
        <v>1</v>
      </c>
      <c r="O37" s="4" t="b">
        <f t="shared" si="16"/>
        <v>1</v>
      </c>
      <c r="P37" s="4" t="b">
        <f t="shared" si="16"/>
        <v>1</v>
      </c>
      <c r="Q37" s="4" t="b">
        <f t="shared" si="16"/>
        <v>1</v>
      </c>
    </row>
    <row r="38" spans="2:17" x14ac:dyDescent="0.2">
      <c r="B38" s="21" t="s">
        <v>1</v>
      </c>
      <c r="C38" s="4" t="b">
        <f t="shared" ref="C38:Q38" si="17">EXACT(C9,C23)</f>
        <v>1</v>
      </c>
      <c r="D38" s="4" t="b">
        <f t="shared" si="17"/>
        <v>1</v>
      </c>
      <c r="E38" s="4" t="b">
        <f t="shared" si="17"/>
        <v>1</v>
      </c>
      <c r="F38" s="4" t="b">
        <f t="shared" si="17"/>
        <v>1</v>
      </c>
      <c r="G38" s="4" t="b">
        <f t="shared" si="17"/>
        <v>1</v>
      </c>
      <c r="H38" s="4" t="b">
        <f t="shared" si="17"/>
        <v>1</v>
      </c>
      <c r="I38" s="4" t="b">
        <f t="shared" si="17"/>
        <v>1</v>
      </c>
      <c r="J38" s="4" t="b">
        <f t="shared" si="17"/>
        <v>1</v>
      </c>
      <c r="K38" s="4" t="b">
        <f t="shared" si="17"/>
        <v>1</v>
      </c>
      <c r="L38" s="4" t="b">
        <f t="shared" si="17"/>
        <v>1</v>
      </c>
      <c r="M38" s="4" t="b">
        <f t="shared" si="17"/>
        <v>1</v>
      </c>
      <c r="N38" s="4" t="b">
        <f t="shared" si="17"/>
        <v>1</v>
      </c>
      <c r="O38" s="4" t="b">
        <f t="shared" si="17"/>
        <v>1</v>
      </c>
      <c r="P38" s="4" t="b">
        <f t="shared" si="17"/>
        <v>1</v>
      </c>
      <c r="Q38" s="4" t="b">
        <f t="shared" si="17"/>
        <v>1</v>
      </c>
    </row>
    <row r="39" spans="2:17" x14ac:dyDescent="0.2">
      <c r="B39" s="22"/>
      <c r="C39" s="4" t="b">
        <f t="shared" ref="C39:Q39" si="18">EXACT(C10,C24)</f>
        <v>1</v>
      </c>
      <c r="D39" s="4" t="b">
        <f t="shared" si="18"/>
        <v>1</v>
      </c>
      <c r="E39" s="4" t="b">
        <f t="shared" si="18"/>
        <v>1</v>
      </c>
      <c r="F39" s="4" t="b">
        <f t="shared" si="18"/>
        <v>1</v>
      </c>
      <c r="G39" s="4" t="b">
        <f t="shared" si="18"/>
        <v>1</v>
      </c>
      <c r="H39" s="4" t="b">
        <f t="shared" si="18"/>
        <v>1</v>
      </c>
      <c r="I39" s="4" t="b">
        <f t="shared" si="18"/>
        <v>1</v>
      </c>
      <c r="J39" s="4" t="b">
        <f t="shared" si="18"/>
        <v>1</v>
      </c>
      <c r="K39" s="4" t="b">
        <f t="shared" si="18"/>
        <v>1</v>
      </c>
      <c r="L39" s="4" t="b">
        <f t="shared" si="18"/>
        <v>1</v>
      </c>
      <c r="M39" s="4" t="b">
        <f t="shared" si="18"/>
        <v>1</v>
      </c>
      <c r="N39" s="4" t="b">
        <f t="shared" si="18"/>
        <v>1</v>
      </c>
      <c r="O39" s="4" t="b">
        <f t="shared" si="18"/>
        <v>1</v>
      </c>
      <c r="P39" s="4" t="b">
        <f t="shared" si="18"/>
        <v>1</v>
      </c>
      <c r="Q39" s="4" t="b">
        <f t="shared" si="18"/>
        <v>1</v>
      </c>
    </row>
    <row r="40" spans="2:17" ht="13.5" thickBot="1" x14ac:dyDescent="0.25">
      <c r="B40" s="23"/>
      <c r="C40" s="4" t="b">
        <f t="shared" ref="C40:Q40" si="19">EXACT(C11,C25)</f>
        <v>1</v>
      </c>
      <c r="D40" s="4" t="b">
        <f t="shared" si="19"/>
        <v>1</v>
      </c>
      <c r="E40" s="4" t="b">
        <f t="shared" si="19"/>
        <v>1</v>
      </c>
      <c r="F40" s="4" t="b">
        <f t="shared" si="19"/>
        <v>1</v>
      </c>
      <c r="G40" s="4" t="b">
        <f t="shared" si="19"/>
        <v>1</v>
      </c>
      <c r="H40" s="4" t="b">
        <f t="shared" si="19"/>
        <v>1</v>
      </c>
      <c r="I40" s="4" t="b">
        <f t="shared" si="19"/>
        <v>1</v>
      </c>
      <c r="J40" s="4" t="b">
        <f t="shared" si="19"/>
        <v>1</v>
      </c>
      <c r="K40" s="4" t="b">
        <f t="shared" si="19"/>
        <v>1</v>
      </c>
      <c r="L40" s="4" t="b">
        <f t="shared" si="19"/>
        <v>1</v>
      </c>
      <c r="M40" s="4" t="b">
        <f t="shared" si="19"/>
        <v>1</v>
      </c>
      <c r="N40" s="4" t="b">
        <f t="shared" si="19"/>
        <v>1</v>
      </c>
      <c r="O40" s="4" t="b">
        <f t="shared" si="19"/>
        <v>1</v>
      </c>
      <c r="P40" s="4" t="b">
        <f t="shared" si="19"/>
        <v>1</v>
      </c>
      <c r="Q40" s="4" t="b">
        <f t="shared" si="19"/>
        <v>1</v>
      </c>
    </row>
  </sheetData>
  <mergeCells count="6">
    <mergeCell ref="B38:B40"/>
    <mergeCell ref="B9:B11"/>
    <mergeCell ref="B6:B8"/>
    <mergeCell ref="B20:B22"/>
    <mergeCell ref="B23:B25"/>
    <mergeCell ref="B35:B37"/>
  </mergeCells>
  <phoneticPr fontId="2"/>
  <conditionalFormatting sqref="C32">
    <cfRule type="cellIs" dxfId="1" priority="1" operator="notEqual">
      <formula>0</formula>
    </cfRule>
    <cfRule type="cellIs" dxfId="0" priority="2" operator="equal">
      <formula>0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CAD14AC2-62CE-43F2-B4AA-F9BFEB933488}">
            <xm:f>NOT(ISERROR(SEARCH(TRUE,A12)))</xm:f>
            <xm:f>TRUE</xm:f>
            <x14:dxf>
              <fill>
                <patternFill>
                  <bgColor theme="6" tint="0.59996337778862885"/>
                </patternFill>
              </fill>
            </x14:dxf>
          </x14:cfRule>
          <x14:cfRule type="containsText" priority="6" operator="containsText" id="{1D0FCC6B-C06B-4364-910E-BEE1D3BFB1FB}">
            <xm:f>NOT(ISERROR(SEARCH(FALSE,A12)))</xm:f>
            <xm:f>FALSE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A12:XFD14</xm:sqref>
        </x14:conditionalFormatting>
        <x14:conditionalFormatting xmlns:xm="http://schemas.microsoft.com/office/excel/2006/main">
          <x14:cfRule type="containsText" priority="3" operator="containsText" id="{1AAA626F-0B1B-493D-B032-2439B76BA3CF}">
            <xm:f>NOT(ISERROR(SEARCH(TRUE,A26)))</xm:f>
            <xm:f>TRUE</xm:f>
            <x14:dxf>
              <fill>
                <patternFill>
                  <bgColor theme="6" tint="0.59996337778862885"/>
                </patternFill>
              </fill>
            </x14:dxf>
          </x14:cfRule>
          <x14:cfRule type="containsText" priority="4" operator="containsText" id="{4AF720BF-5075-45A6-A62B-5D24F02125E8}">
            <xm:f>NOT(ISERROR(SEARCH(FALSE,A26)))</xm:f>
            <xm:f>FALSE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A26:XFD28</xm:sqref>
        </x14:conditionalFormatting>
        <x14:conditionalFormatting xmlns:xm="http://schemas.microsoft.com/office/excel/2006/main">
          <x14:cfRule type="containsText" priority="7" operator="containsText" id="{5C3A0888-82EE-415E-B62D-DDB3E0ECE325}">
            <xm:f>NOT(ISERROR(SEARCH(FALSE,A35)))</xm:f>
            <xm:f>FALSE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14:cfRule type="containsText" priority="8" operator="containsText" id="{BA07F738-C788-4E99-87A1-1EF9C7E6D3CD}">
            <xm:f>NOT(ISERROR(SEARCH(TRUE,A35)))</xm:f>
            <xm:f>TRUE</xm:f>
            <x14:dxf>
              <fill>
                <patternFill>
                  <bgColor theme="6" tint="0.59996337778862885"/>
                </patternFill>
              </fill>
            </x14:dxf>
          </x14:cfRule>
          <xm:sqref>A35:XFD40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 activeCell="B17" sqref="B17"/>
    </sheetView>
  </sheetViews>
  <sheetFormatPr defaultRowHeight="13" x14ac:dyDescent="0.2"/>
  <cols>
    <col min="1" max="2" width="28" customWidth="1"/>
    <col min="3" max="3" width="70" customWidth="1"/>
  </cols>
  <sheetData>
    <row r="1" spans="1:3" ht="22" customHeight="1" x14ac:dyDescent="0.2">
      <c r="A1" t="s">
        <v>10</v>
      </c>
      <c r="B1" t="s">
        <v>11</v>
      </c>
      <c r="C1" t="s">
        <v>12</v>
      </c>
    </row>
    <row r="2" spans="1:3" ht="18.5" x14ac:dyDescent="0.55000000000000004">
      <c r="A2" t="s">
        <v>14</v>
      </c>
      <c r="B2" s="19" t="s">
        <v>15</v>
      </c>
      <c r="C2" t="s">
        <v>13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テーブル</vt:lpstr>
      <vt:lpstr>現新比較対象外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Fajie Wang</cp:lastModifiedBy>
  <dcterms:created xsi:type="dcterms:W3CDTF">2026-04-28T00:46:15Z</dcterms:created>
  <dcterms:modified xsi:type="dcterms:W3CDTF">2026-05-12T23:51:12Z</dcterms:modified>
</cp:coreProperties>
</file>